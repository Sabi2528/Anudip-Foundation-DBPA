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imelines/timeline1.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Tasks Dataanalyst course\"/>
    </mc:Choice>
  </mc:AlternateContent>
  <bookViews>
    <workbookView xWindow="0" yWindow="0" windowWidth="20490" windowHeight="7620"/>
  </bookViews>
  <sheets>
    <sheet name="employee performace sheet" sheetId="1" r:id="rId1"/>
    <sheet name="employee salary report" sheetId="2" r:id="rId2"/>
    <sheet name="performancewise" sheetId="3" r:id="rId3"/>
    <sheet name="Sheet4" sheetId="4" r:id="rId4"/>
  </sheets>
  <definedNames>
    <definedName name="NativeTimeline_DateofJoining">#N/A</definedName>
    <definedName name="Slicer_designation">#N/A</definedName>
    <definedName name="Slicer_Gender">#N/A</definedName>
    <definedName name="Slicer_Performance">#N/A</definedName>
  </definedNames>
  <calcPr calcId="162913"/>
  <pivotCaches>
    <pivotCache cacheId="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4" i="1" l="1"/>
  <c r="K5" i="1"/>
  <c r="K6" i="1"/>
  <c r="K7" i="1"/>
  <c r="K8" i="1"/>
  <c r="K9" i="1"/>
  <c r="K10" i="1"/>
  <c r="K11" i="1"/>
  <c r="K12" i="1"/>
  <c r="K13" i="1"/>
  <c r="K14" i="1"/>
  <c r="K15" i="1"/>
  <c r="K16" i="1"/>
  <c r="K17" i="1"/>
  <c r="K18" i="1"/>
  <c r="K19" i="1"/>
  <c r="K20" i="1"/>
  <c r="K3" i="1"/>
  <c r="J4" i="1"/>
  <c r="J5" i="1"/>
  <c r="J6" i="1"/>
  <c r="J7" i="1"/>
  <c r="J8" i="1"/>
  <c r="J9" i="1"/>
  <c r="J10" i="1"/>
  <c r="J11" i="1"/>
  <c r="J12" i="1"/>
  <c r="J13" i="1"/>
  <c r="J14" i="1"/>
  <c r="J15" i="1"/>
  <c r="J16" i="1"/>
  <c r="J17" i="1"/>
  <c r="J18" i="1"/>
  <c r="J19" i="1"/>
  <c r="J20" i="1"/>
  <c r="J3" i="1"/>
  <c r="I4" i="1"/>
  <c r="I5" i="1"/>
  <c r="I6" i="1"/>
  <c r="I7" i="1"/>
  <c r="I8" i="1"/>
  <c r="I9" i="1"/>
  <c r="I10" i="1"/>
  <c r="I11" i="1"/>
  <c r="I12" i="1"/>
  <c r="I13" i="1"/>
  <c r="I14" i="1"/>
  <c r="I15" i="1"/>
  <c r="I16" i="1"/>
  <c r="I17" i="1"/>
  <c r="I18" i="1"/>
  <c r="I19" i="1"/>
  <c r="I20" i="1"/>
  <c r="I3" i="1"/>
</calcChain>
</file>

<file path=xl/sharedStrings.xml><?xml version="1.0" encoding="utf-8"?>
<sst xmlns="http://schemas.openxmlformats.org/spreadsheetml/2006/main" count="156" uniqueCount="69">
  <si>
    <t>sno</t>
  </si>
  <si>
    <t>emp id</t>
  </si>
  <si>
    <t>empname</t>
  </si>
  <si>
    <t>designation</t>
  </si>
  <si>
    <t>basic salary</t>
  </si>
  <si>
    <t>rate</t>
  </si>
  <si>
    <t>Tcs001</t>
  </si>
  <si>
    <t>Tcs002</t>
  </si>
  <si>
    <t>Tcs003</t>
  </si>
  <si>
    <t>Tcs004</t>
  </si>
  <si>
    <t>Tcs005</t>
  </si>
  <si>
    <t>Tcs006</t>
  </si>
  <si>
    <t>Tcs007</t>
  </si>
  <si>
    <t>Tcs008</t>
  </si>
  <si>
    <t>Tcs009</t>
  </si>
  <si>
    <t>Tcs010</t>
  </si>
  <si>
    <t>Tcs011</t>
  </si>
  <si>
    <t>Tcs012</t>
  </si>
  <si>
    <t>Tcs013</t>
  </si>
  <si>
    <t>Tcs014</t>
  </si>
  <si>
    <t>Tcs015</t>
  </si>
  <si>
    <t>Tcs016</t>
  </si>
  <si>
    <t>Tcs017</t>
  </si>
  <si>
    <t>Tcs018</t>
  </si>
  <si>
    <t>Abi</t>
  </si>
  <si>
    <t>ganesh</t>
  </si>
  <si>
    <t>venu</t>
  </si>
  <si>
    <t>shiva</t>
  </si>
  <si>
    <t>Gopika</t>
  </si>
  <si>
    <t>dhanam</t>
  </si>
  <si>
    <t>bablu</t>
  </si>
  <si>
    <t>tesha</t>
  </si>
  <si>
    <t>seela</t>
  </si>
  <si>
    <t>barkavi</t>
  </si>
  <si>
    <t>mithra</t>
  </si>
  <si>
    <t>marudhu</t>
  </si>
  <si>
    <t>muthu</t>
  </si>
  <si>
    <t>dhivagar</t>
  </si>
  <si>
    <t>dhinesh</t>
  </si>
  <si>
    <t>mani</t>
  </si>
  <si>
    <t>madhu</t>
  </si>
  <si>
    <t>testing</t>
  </si>
  <si>
    <t>sales</t>
  </si>
  <si>
    <t>admin</t>
  </si>
  <si>
    <t>manager</t>
  </si>
  <si>
    <t>tl</t>
  </si>
  <si>
    <t>developer</t>
  </si>
  <si>
    <t>desinging</t>
  </si>
  <si>
    <t>Employee Performance sheet</t>
  </si>
  <si>
    <t>Performance</t>
  </si>
  <si>
    <t>Appriasal</t>
  </si>
  <si>
    <t>DateofJoining</t>
  </si>
  <si>
    <t>Gender</t>
  </si>
  <si>
    <t>Female</t>
  </si>
  <si>
    <t>Male</t>
  </si>
  <si>
    <t>male</t>
  </si>
  <si>
    <t>Gross Salary</t>
  </si>
  <si>
    <t>Row Labels</t>
  </si>
  <si>
    <t>Grand Total</t>
  </si>
  <si>
    <t>Sum of basic salary</t>
  </si>
  <si>
    <t>abovreAverage</t>
  </si>
  <si>
    <t>average</t>
  </si>
  <si>
    <t>belowAverage</t>
  </si>
  <si>
    <t>Excellent</t>
  </si>
  <si>
    <t>Good</t>
  </si>
  <si>
    <t>worst</t>
  </si>
  <si>
    <t>FALSE</t>
  </si>
  <si>
    <t>Count of Gender</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</si>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</sst>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7" tint="0.39997558519241921"/>
        <bgColor indexed="64"/>
      </patternFill>
    </fill>
    <fill>
      <patternFill patternType="solid">
        <fgColor theme="6"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2" fillId="3" borderId="0" xfId="0" applyFont="1" applyFill="1" applyAlignment="1">
      <alignment horizontal="center"/>
    </xf>
    <xf numFmtId="0" fontId="0" fillId="3" borderId="0" xfId="0" applyFill="1" applyAlignment="1">
      <alignment horizontal="center"/>
    </xf>
    <xf numFmtId="0" fontId="0" fillId="3" borderId="0" xfId="0" applyFill="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1" fillId="2" borderId="1" xfId="0" applyFont="1" applyFill="1" applyBorder="1"/>
    <xf numFmtId="0" fontId="0" fillId="0" borderId="1" xfId="0" applyBorder="1"/>
    <xf numFmtId="14" fontId="0" fillId="0" borderId="1" xfId="0" applyNumberFormat="1" applyBorder="1"/>
  </cellXfs>
  <cellStyles count="1">
    <cellStyle name="Normal" xfId="0" builtinId="0"/>
  </cellStyles>
  <dxfs count="37">
    <dxf>
      <font>
        <color rgb="FF006100"/>
      </font>
      <fill>
        <patternFill>
          <bgColor rgb="FFC6EFCE"/>
        </patternFill>
      </fill>
    </dxf>
    <dxf>
      <font>
        <color rgb="FF9C0006"/>
      </font>
      <fill>
        <patternFill>
          <bgColor rgb="FFFFC7CE"/>
        </patternFill>
      </fill>
    </dxf>
    <dxf>
      <fill>
        <patternFill>
          <bgColor theme="8"/>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ill>
        <patternFill>
          <bgColor theme="8"/>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ill>
        <patternFill>
          <bgColor theme="8"/>
        </patternFill>
      </fill>
    </dxf>
    <dxf>
      <font>
        <color rgb="FF9C0006"/>
      </font>
      <fill>
        <patternFill>
          <bgColor rgb="FFFFC7CE"/>
        </patternFill>
      </fill>
    </dxf>
    <dxf>
      <font>
        <color rgb="FF9C6500"/>
      </font>
      <fill>
        <patternFill>
          <bgColor rgb="FFFFEB9C"/>
        </patternFill>
      </fill>
    </dxf>
    <dxf>
      <fill>
        <patternFill>
          <bgColor theme="8"/>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[Task6.xlsx]employee salary report!PivotTable1</c:name>
    <c:fmtId val="0"/>
  </c:pivotSource>
  <c:chart>
    <c:title>
      <c:layout/>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pivotFmt>
      <c:pivotFmt>
        <c:idx val="2"/>
        <c:spPr>
          <a:solidFill>
            <a:schemeClr val="accent1"/>
          </a:solidFill>
          <a:ln>
            <a:noFill/>
          </a:ln>
          <a:effectLst/>
        </c:spPr>
        <c:marker>
          <c:symbol val="circle"/>
          <c:size val="6"/>
          <c:spPr>
            <a:solidFill>
              <a:schemeClr val="lt1"/>
            </a:solidFill>
            <a:ln w="1587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10335870516185477"/>
          <c:y val="0.27254410906969961"/>
          <c:w val="0.73578937007874012"/>
          <c:h val="0.44277631962671332"/>
        </c:manualLayout>
      </c:layout>
      <c:barChart>
        <c:barDir val="col"/>
        <c:grouping val="clustered"/>
        <c:varyColors val="0"/>
        <c:ser>
          <c:idx val="0"/>
          <c:order val="0"/>
          <c:tx>
            <c:strRef>
              <c:f>'employee salary report'!$B$3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dk1">
                          <a:lumMod val="35000"/>
                          <a:lumOff val="65000"/>
                        </a:schemeClr>
                      </a:solidFill>
                      <a:round/>
                    </a:ln>
                    <a:effectLst/>
                  </c:spPr>
                </c15:leaderLines>
              </c:ext>
            </c:extLst>
          </c:dLbls>
          <c:cat>
            <c:strRef>
              <c:f>'employee salary report'!$A$4:$A$21</c:f>
              <c:strCache>
                <c:ptCount val="17"/>
                <c:pt idx="0">
                  <c:v>Abi</c:v>
                </c:pt>
                <c:pt idx="1">
                  <c:v>bablu</c:v>
                </c:pt>
                <c:pt idx="2">
                  <c:v>barkavi</c:v>
                </c:pt>
                <c:pt idx="3">
                  <c:v>dhanam</c:v>
                </c:pt>
                <c:pt idx="4">
                  <c:v>dhinesh</c:v>
                </c:pt>
                <c:pt idx="5">
                  <c:v>dhivagar</c:v>
                </c:pt>
                <c:pt idx="6">
                  <c:v>ganesh</c:v>
                </c:pt>
                <c:pt idx="7">
                  <c:v>Gopika</c:v>
                </c:pt>
                <c:pt idx="8">
                  <c:v>madhu</c:v>
                </c:pt>
                <c:pt idx="9">
                  <c:v>mani</c:v>
                </c:pt>
                <c:pt idx="10">
                  <c:v>marudhu</c:v>
                </c:pt>
                <c:pt idx="11">
                  <c:v>mithra</c:v>
                </c:pt>
                <c:pt idx="12">
                  <c:v>muthu</c:v>
                </c:pt>
                <c:pt idx="13">
                  <c:v>seela</c:v>
                </c:pt>
                <c:pt idx="14">
                  <c:v>shiva</c:v>
                </c:pt>
                <c:pt idx="15">
                  <c:v>tesha</c:v>
                </c:pt>
                <c:pt idx="16">
                  <c:v>venu</c:v>
                </c:pt>
              </c:strCache>
            </c:strRef>
          </c:cat>
          <c:val>
            <c:numRef>
              <c:f>'employee salary report'!$B$4:$B$21</c:f>
              <c:numCache>
                <c:formatCode>General</c:formatCode>
                <c:ptCount val="17"/>
                <c:pt idx="0">
                  <c:v>34247</c:v>
                </c:pt>
                <c:pt idx="1">
                  <c:v>60643</c:v>
                </c:pt>
                <c:pt idx="2">
                  <c:v>44061</c:v>
                </c:pt>
                <c:pt idx="3">
                  <c:v>64316</c:v>
                </c:pt>
                <c:pt idx="4">
                  <c:v>51557</c:v>
                </c:pt>
                <c:pt idx="5">
                  <c:v>26281</c:v>
                </c:pt>
                <c:pt idx="6">
                  <c:v>51425</c:v>
                </c:pt>
                <c:pt idx="7">
                  <c:v>44054</c:v>
                </c:pt>
                <c:pt idx="8">
                  <c:v>50179</c:v>
                </c:pt>
                <c:pt idx="9">
                  <c:v>51276</c:v>
                </c:pt>
                <c:pt idx="10">
                  <c:v>25613</c:v>
                </c:pt>
                <c:pt idx="11">
                  <c:v>31111</c:v>
                </c:pt>
                <c:pt idx="12">
                  <c:v>37970</c:v>
                </c:pt>
                <c:pt idx="13">
                  <c:v>51957</c:v>
                </c:pt>
                <c:pt idx="14">
                  <c:v>85781</c:v>
                </c:pt>
                <c:pt idx="15">
                  <c:v>24913</c:v>
                </c:pt>
                <c:pt idx="16">
                  <c:v>50194</c:v>
                </c:pt>
              </c:numCache>
            </c:numRef>
          </c:val>
          <c:extLst>
            <c:ext xmlns:c16="http://schemas.microsoft.com/office/drawing/2014/chart" uri="{C3380CC4-5D6E-409C-BE32-E72D297353CC}">
              <c16:uniqueId val="{00000000-ACD4-48C0-942B-70DB47FB375C}"/>
            </c:ext>
          </c:extLst>
        </c:ser>
        <c:dLbls>
          <c:dLblPos val="outEnd"/>
          <c:showLegendKey val="0"/>
          <c:showVal val="1"/>
          <c:showCatName val="0"/>
          <c:showSerName val="0"/>
          <c:showPercent val="0"/>
          <c:showBubbleSize val="0"/>
        </c:dLbls>
        <c:gapWidth val="267"/>
        <c:overlap val="-43"/>
        <c:axId val="1942763184"/>
        <c:axId val="1938767328"/>
      </c:barChart>
      <c:catAx>
        <c:axId val="194276318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938767328"/>
        <c:crosses val="autoZero"/>
        <c:auto val="1"/>
        <c:lblAlgn val="ctr"/>
        <c:lblOffset val="100"/>
        <c:noMultiLvlLbl val="0"/>
      </c:catAx>
      <c:valAx>
        <c:axId val="1938767328"/>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942763184"/>
        <c:crosses val="autoZero"/>
        <c:crossBetween val="between"/>
      </c:valAx>
      <c:spPr>
        <a:pattFill prst="ltDnDiag">
          <a:fgClr>
            <a:schemeClr val="dk1">
              <a:lumMod val="15000"/>
              <a:lumOff val="85000"/>
            </a:schemeClr>
          </a:fgClr>
          <a:bgClr>
            <a:schemeClr val="lt1"/>
          </a:bgClr>
        </a:patt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[Task6.xlsx]performancewise!PivotTable2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stacked"/>
        <c:varyColors val="0"/>
        <c:ser>
          <c:idx val="0"/>
          <c:order val="0"/>
          <c:tx>
            <c:strRef>
              <c:f>performancewise!$B$3</c:f>
              <c:strCache>
                <c:ptCount val="1"/>
                <c:pt idx="0">
                  <c:v>Total</c:v>
                </c:pt>
              </c:strCache>
            </c:strRef>
          </c:tx>
          <c:spPr>
            <a:solidFill>
              <a:schemeClr val="accent1"/>
            </a:solidFill>
            <a:ln>
              <a:noFill/>
            </a:ln>
            <a:effectLst/>
          </c:spPr>
          <c:invertIfNegative val="0"/>
          <c:cat>
            <c:multiLvlStrRef>
              <c:f>performancewise!$A$4:$A$29</c:f>
              <c:multiLvlStrCache>
                <c:ptCount val="18"/>
                <c:lvl>
                  <c:pt idx="0">
                    <c:v>Abi</c:v>
                  </c:pt>
                  <c:pt idx="1">
                    <c:v>marudhu</c:v>
                  </c:pt>
                  <c:pt idx="2">
                    <c:v>mithra</c:v>
                  </c:pt>
                  <c:pt idx="3">
                    <c:v>barkavi</c:v>
                  </c:pt>
                  <c:pt idx="4">
                    <c:v>Gopika</c:v>
                  </c:pt>
                  <c:pt idx="5">
                    <c:v>mani</c:v>
                  </c:pt>
                  <c:pt idx="6">
                    <c:v>dhinesh</c:v>
                  </c:pt>
                  <c:pt idx="7">
                    <c:v>seela</c:v>
                  </c:pt>
                  <c:pt idx="8">
                    <c:v>shiva</c:v>
                  </c:pt>
                  <c:pt idx="9">
                    <c:v>bablu</c:v>
                  </c:pt>
                  <c:pt idx="10">
                    <c:v>dhivagar</c:v>
                  </c:pt>
                  <c:pt idx="11">
                    <c:v>venu</c:v>
                  </c:pt>
                  <c:pt idx="12">
                    <c:v>ganesh</c:v>
                  </c:pt>
                  <c:pt idx="13">
                    <c:v>muthu</c:v>
                  </c:pt>
                  <c:pt idx="14">
                    <c:v>tesha</c:v>
                  </c:pt>
                  <c:pt idx="15">
                    <c:v>dhanam</c:v>
                  </c:pt>
                  <c:pt idx="16">
                    <c:v>madhu</c:v>
                  </c:pt>
                  <c:pt idx="17">
                    <c:v>shiva</c:v>
                  </c:pt>
                </c:lvl>
                <c:lvl>
                  <c:pt idx="0">
                    <c:v>abovreAverage</c:v>
                  </c:pt>
                  <c:pt idx="3">
                    <c:v>average</c:v>
                  </c:pt>
                  <c:pt idx="6">
                    <c:v>belowAverage</c:v>
                  </c:pt>
                  <c:pt idx="9">
                    <c:v>Excellent</c:v>
                  </c:pt>
                  <c:pt idx="12">
                    <c:v>Good</c:v>
                  </c:pt>
                  <c:pt idx="15">
                    <c:v>worst</c:v>
                  </c:pt>
                  <c:pt idx="17">
                    <c:v>FALSE</c:v>
                  </c:pt>
                </c:lvl>
              </c:multiLvlStrCache>
            </c:multiLvlStrRef>
          </c:cat>
          <c:val>
            <c:numRef>
              <c:f>performancewise!$B$4:$B$29</c:f>
              <c:numCache>
                <c:formatCode>General</c:formatCode>
                <c:ptCount val="1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numCache>
            </c:numRef>
          </c:val>
          <c:extLst>
            <c:ext xmlns:c16="http://schemas.microsoft.com/office/drawing/2014/chart" uri="{C3380CC4-5D6E-409C-BE32-E72D297353CC}">
              <c16:uniqueId val="{00000000-0FF3-4958-A182-3D48C125CF5E}"/>
            </c:ext>
          </c:extLst>
        </c:ser>
        <c:dLbls>
          <c:showLegendKey val="0"/>
          <c:showVal val="0"/>
          <c:showCatName val="0"/>
          <c:showSerName val="0"/>
          <c:showPercent val="0"/>
          <c:showBubbleSize val="0"/>
        </c:dLbls>
        <c:gapWidth val="219"/>
        <c:overlap val="100"/>
        <c:axId val="2009762304"/>
        <c:axId val="2009762720"/>
      </c:barChart>
      <c:catAx>
        <c:axId val="2009762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62720"/>
        <c:crosses val="autoZero"/>
        <c:auto val="1"/>
        <c:lblAlgn val="ctr"/>
        <c:lblOffset val="100"/>
        <c:noMultiLvlLbl val="0"/>
      </c:catAx>
      <c:valAx>
        <c:axId val="200976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7623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[Task6.xlsx]Sheet4!PivotTable3</c:name>
    <c:fmtId val="0"/>
  </c:pivotSource>
  <c:chart>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Sheet4!$B$3:$B$4</c:f>
              <c:strCache>
                <c:ptCount val="1"/>
                <c:pt idx="0">
                  <c:v>Female</c:v>
                </c:pt>
              </c:strCache>
            </c:strRef>
          </c:tx>
          <c:spPr>
            <a:solidFill>
              <a:schemeClr val="accent1"/>
            </a:solidFill>
            <a:ln>
              <a:noFill/>
            </a:ln>
            <a:effectLst/>
          </c:spPr>
          <c:invertIfNegative val="0"/>
          <c:cat>
            <c:strRef>
              <c:f>Sheet4!$A$5:$A$22</c:f>
              <c:strCache>
                <c:ptCount val="17"/>
                <c:pt idx="0">
                  <c:v>Abi</c:v>
                </c:pt>
                <c:pt idx="1">
                  <c:v>bablu</c:v>
                </c:pt>
                <c:pt idx="2">
                  <c:v>barkavi</c:v>
                </c:pt>
                <c:pt idx="3">
                  <c:v>dhanam</c:v>
                </c:pt>
                <c:pt idx="4">
                  <c:v>dhinesh</c:v>
                </c:pt>
                <c:pt idx="5">
                  <c:v>dhivagar</c:v>
                </c:pt>
                <c:pt idx="6">
                  <c:v>ganesh</c:v>
                </c:pt>
                <c:pt idx="7">
                  <c:v>Gopika</c:v>
                </c:pt>
                <c:pt idx="8">
                  <c:v>madhu</c:v>
                </c:pt>
                <c:pt idx="9">
                  <c:v>mani</c:v>
                </c:pt>
                <c:pt idx="10">
                  <c:v>marudhu</c:v>
                </c:pt>
                <c:pt idx="11">
                  <c:v>mithra</c:v>
                </c:pt>
                <c:pt idx="12">
                  <c:v>muthu</c:v>
                </c:pt>
                <c:pt idx="13">
                  <c:v>seela</c:v>
                </c:pt>
                <c:pt idx="14">
                  <c:v>shiva</c:v>
                </c:pt>
                <c:pt idx="15">
                  <c:v>tesha</c:v>
                </c:pt>
                <c:pt idx="16">
                  <c:v>venu</c:v>
                </c:pt>
              </c:strCache>
            </c:strRef>
          </c:cat>
          <c:val>
            <c:numRef>
              <c:f>Sheet4!$B$5:$B$22</c:f>
              <c:numCache>
                <c:formatCode>General</c:formatCode>
                <c:ptCount val="17"/>
                <c:pt idx="0">
                  <c:v>34247</c:v>
                </c:pt>
                <c:pt idx="2">
                  <c:v>44061</c:v>
                </c:pt>
                <c:pt idx="3">
                  <c:v>64316</c:v>
                </c:pt>
                <c:pt idx="7">
                  <c:v>44054</c:v>
                </c:pt>
                <c:pt idx="8">
                  <c:v>50179</c:v>
                </c:pt>
                <c:pt idx="11">
                  <c:v>31111</c:v>
                </c:pt>
                <c:pt idx="13">
                  <c:v>51957</c:v>
                </c:pt>
                <c:pt idx="15">
                  <c:v>24913</c:v>
                </c:pt>
              </c:numCache>
            </c:numRef>
          </c:val>
          <c:extLst>
            <c:ext xmlns:c16="http://schemas.microsoft.com/office/drawing/2014/chart" uri="{C3380CC4-5D6E-409C-BE32-E72D297353CC}">
              <c16:uniqueId val="{00000000-CB83-4C1C-8026-1CA8B2A924FB}"/>
            </c:ext>
          </c:extLst>
        </c:ser>
        <c:ser>
          <c:idx val="1"/>
          <c:order val="1"/>
          <c:tx>
            <c:strRef>
              <c:f>Sheet4!$C$3:$C$4</c:f>
              <c:strCache>
                <c:ptCount val="1"/>
                <c:pt idx="0">
                  <c:v>Male</c:v>
                </c:pt>
              </c:strCache>
            </c:strRef>
          </c:tx>
          <c:spPr>
            <a:solidFill>
              <a:schemeClr val="accent2"/>
            </a:solidFill>
            <a:ln>
              <a:noFill/>
            </a:ln>
            <a:effectLst/>
          </c:spPr>
          <c:invertIfNegative val="0"/>
          <c:cat>
            <c:strRef>
              <c:f>Sheet4!$A$5:$A$22</c:f>
              <c:strCache>
                <c:ptCount val="17"/>
                <c:pt idx="0">
                  <c:v>Abi</c:v>
                </c:pt>
                <c:pt idx="1">
                  <c:v>bablu</c:v>
                </c:pt>
                <c:pt idx="2">
                  <c:v>barkavi</c:v>
                </c:pt>
                <c:pt idx="3">
                  <c:v>dhanam</c:v>
                </c:pt>
                <c:pt idx="4">
                  <c:v>dhinesh</c:v>
                </c:pt>
                <c:pt idx="5">
                  <c:v>dhivagar</c:v>
                </c:pt>
                <c:pt idx="6">
                  <c:v>ganesh</c:v>
                </c:pt>
                <c:pt idx="7">
                  <c:v>Gopika</c:v>
                </c:pt>
                <c:pt idx="8">
                  <c:v>madhu</c:v>
                </c:pt>
                <c:pt idx="9">
                  <c:v>mani</c:v>
                </c:pt>
                <c:pt idx="10">
                  <c:v>marudhu</c:v>
                </c:pt>
                <c:pt idx="11">
                  <c:v>mithra</c:v>
                </c:pt>
                <c:pt idx="12">
                  <c:v>muthu</c:v>
                </c:pt>
                <c:pt idx="13">
                  <c:v>seela</c:v>
                </c:pt>
                <c:pt idx="14">
                  <c:v>shiva</c:v>
                </c:pt>
                <c:pt idx="15">
                  <c:v>tesha</c:v>
                </c:pt>
                <c:pt idx="16">
                  <c:v>venu</c:v>
                </c:pt>
              </c:strCache>
            </c:strRef>
          </c:cat>
          <c:val>
            <c:numRef>
              <c:f>Sheet4!$C$5:$C$22</c:f>
              <c:numCache>
                <c:formatCode>General</c:formatCode>
                <c:ptCount val="17"/>
                <c:pt idx="1">
                  <c:v>60643</c:v>
                </c:pt>
                <c:pt idx="4">
                  <c:v>51557</c:v>
                </c:pt>
                <c:pt idx="5">
                  <c:v>26281</c:v>
                </c:pt>
                <c:pt idx="6">
                  <c:v>51425</c:v>
                </c:pt>
                <c:pt idx="9">
                  <c:v>51276</c:v>
                </c:pt>
                <c:pt idx="10">
                  <c:v>25613</c:v>
                </c:pt>
                <c:pt idx="12">
                  <c:v>37970</c:v>
                </c:pt>
                <c:pt idx="14">
                  <c:v>85781</c:v>
                </c:pt>
                <c:pt idx="16">
                  <c:v>50194</c:v>
                </c:pt>
              </c:numCache>
            </c:numRef>
          </c:val>
          <c:extLst>
            <c:ext xmlns:c16="http://schemas.microsoft.com/office/drawing/2014/chart" uri="{C3380CC4-5D6E-409C-BE32-E72D297353CC}">
              <c16:uniqueId val="{00000004-CB83-4C1C-8026-1CA8B2A924FB}"/>
            </c:ext>
          </c:extLst>
        </c:ser>
        <c:dLbls>
          <c:showLegendKey val="0"/>
          <c:showVal val="0"/>
          <c:showCatName val="0"/>
          <c:showSerName val="0"/>
          <c:showPercent val="0"/>
          <c:showBubbleSize val="0"/>
        </c:dLbls>
        <c:gapWidth val="219"/>
        <c:overlap val="-27"/>
        <c:axId val="2017962272"/>
        <c:axId val="2017955616"/>
      </c:barChart>
      <c:catAx>
        <c:axId val="2017962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55616"/>
        <c:crosses val="autoZero"/>
        <c:auto val="1"/>
        <c:lblAlgn val="ctr"/>
        <c:lblOffset val="100"/>
        <c:noMultiLvlLbl val="0"/>
      </c:catAx>
      <c:valAx>
        <c:axId val="2017955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622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180975</xdr:colOff>
      <xdr:row>4</xdr:row>
      <xdr:rowOff>9525</xdr:rowOff>
    </xdr:from>
    <xdr:to>
      <xdr:col>11</xdr:col>
      <xdr:colOff>485775</xdr:colOff>
      <xdr:row>18</xdr:row>
      <xdr:rowOff>85725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9525</xdr:colOff>
      <xdr:row>2</xdr:row>
      <xdr:rowOff>142875</xdr:rowOff>
    </xdr:from>
    <xdr:to>
      <xdr:col>12</xdr:col>
      <xdr:colOff>581025</xdr:colOff>
      <xdr:row>17</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261937</xdr:colOff>
      <xdr:row>1</xdr:row>
      <xdr:rowOff>19050</xdr:rowOff>
    </xdr:from>
    <xdr:to>
      <xdr:col>11</xdr:col>
      <xdr:colOff>542925</xdr:colOff>
      <xdr:row>14</xdr:row>
      <xdr:rowOff>19050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228600</xdr:colOff>
      <xdr:row>14</xdr:row>
      <xdr:rowOff>152400</xdr:rowOff>
    </xdr:from>
    <xdr:to>
      <xdr:col>11</xdr:col>
      <xdr:colOff>514350</xdr:colOff>
      <xdr:row>22</xdr:row>
      <xdr:rowOff>0</xdr:rowOff>
    </xdr:to>
    <mc:AlternateContent xmlns:mc="http://schemas.openxmlformats.org/markup-compatibility/2006">
      <mc:Choice xmlns:tsle="http://schemas.microsoft.com/office/drawing/2012/timeslicer" Requires="tsle">
        <xdr:graphicFrame macro="">
          <xdr:nvGraphicFramePr>
            <xdr:cNvPr id="3" name="DateofJoining"/>
            <xdr:cNvGraphicFramePr/>
          </xdr:nvGraphicFramePr>
          <xdr:xfrm>
            <a:off x="0" y="0"/>
            <a:ext cx="0" cy="0"/>
          </xdr:xfrm>
          <a:graphic>
            <a:graphicData uri="http://schemas.microsoft.com/office/drawing/2012/timeslicer">
              <tsle:timeslicer xmlns:tsle="http://schemas.microsoft.com/office/drawing/2012/timeslicer" name="DateofJoining"/>
            </a:graphicData>
          </a:graphic>
        </xdr:graphicFrame>
      </mc:Choice>
      <mc:Fallback>
        <xdr:sp macro="" textlink="">
          <xdr:nvSpPr>
            <xdr:cNvPr id="0" name=""/>
            <xdr:cNvSpPr>
              <a:spLocks noTextEdit="1"/>
            </xdr:cNvSpPr>
          </xdr:nvSpPr>
          <xdr:spPr>
            <a:xfrm>
              <a:off x="4943475" y="28194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13</xdr:col>
      <xdr:colOff>152400</xdr:colOff>
      <xdr:row>15</xdr:row>
      <xdr:rowOff>142875</xdr:rowOff>
    </xdr:from>
    <xdr:to>
      <xdr:col>16</xdr:col>
      <xdr:colOff>152400</xdr:colOff>
      <xdr:row>21</xdr:row>
      <xdr:rowOff>114300</xdr:rowOff>
    </xdr:to>
    <mc:AlternateContent xmlns:mc="http://schemas.openxmlformats.org/markup-compatibility/2006">
      <mc:Choice xmlns:a14="http://schemas.microsoft.com/office/drawing/2010/main" Requires="a14">
        <xdr:graphicFrame macro="">
          <xdr:nvGraphicFramePr>
            <xdr:cNvPr id="6"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134475" y="3000375"/>
              <a:ext cx="1828800" cy="1114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95250</xdr:colOff>
      <xdr:row>0</xdr:row>
      <xdr:rowOff>180975</xdr:rowOff>
    </xdr:from>
    <xdr:to>
      <xdr:col>18</xdr:col>
      <xdr:colOff>95250</xdr:colOff>
      <xdr:row>14</xdr:row>
      <xdr:rowOff>38100</xdr:rowOff>
    </xdr:to>
    <mc:AlternateContent xmlns:mc="http://schemas.openxmlformats.org/markup-compatibility/2006">
      <mc:Choice xmlns:a14="http://schemas.microsoft.com/office/drawing/2010/main" Requires="a14">
        <xdr:graphicFrame macro="">
          <xdr:nvGraphicFramePr>
            <xdr:cNvPr id="7" name="designation"/>
            <xdr:cNvGraphicFramePr/>
          </xdr:nvGraphicFramePr>
          <xdr:xfrm>
            <a:off x="0" y="0"/>
            <a:ext cx="0" cy="0"/>
          </xdr:xfrm>
          <a:graphic>
            <a:graphicData uri="http://schemas.microsoft.com/office/drawing/2010/slicer">
              <sle:slicer xmlns:sle="http://schemas.microsoft.com/office/drawing/2010/slicer" name="designation"/>
            </a:graphicData>
          </a:graphic>
        </xdr:graphicFrame>
      </mc:Choice>
      <mc:Fallback>
        <xdr:sp macro="" textlink="">
          <xdr:nvSpPr>
            <xdr:cNvPr id="0" name=""/>
            <xdr:cNvSpPr>
              <a:spLocks noTextEdit="1"/>
            </xdr:cNvSpPr>
          </xdr:nvSpPr>
          <xdr:spPr>
            <a:xfrm>
              <a:off x="10296525" y="1809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561975</xdr:colOff>
      <xdr:row>1</xdr:row>
      <xdr:rowOff>57150</xdr:rowOff>
    </xdr:from>
    <xdr:to>
      <xdr:col>14</xdr:col>
      <xdr:colOff>561975</xdr:colOff>
      <xdr:row>14</xdr:row>
      <xdr:rowOff>104775</xdr:rowOff>
    </xdr:to>
    <mc:AlternateContent xmlns:mc="http://schemas.openxmlformats.org/markup-compatibility/2006">
      <mc:Choice xmlns:a14="http://schemas.microsoft.com/office/drawing/2010/main" Requires="a14">
        <xdr:graphicFrame macro="">
          <xdr:nvGraphicFramePr>
            <xdr:cNvPr id="8" name="Performance 1"/>
            <xdr:cNvGraphicFramePr/>
          </xdr:nvGraphicFramePr>
          <xdr:xfrm>
            <a:off x="0" y="0"/>
            <a:ext cx="0" cy="0"/>
          </xdr:xfrm>
          <a:graphic>
            <a:graphicData uri="http://schemas.microsoft.com/office/drawing/2010/slicer">
              <sle:slicer xmlns:sle="http://schemas.microsoft.com/office/drawing/2010/slicer" name="Performance 1"/>
            </a:graphicData>
          </a:graphic>
        </xdr:graphicFrame>
      </mc:Choice>
      <mc:Fallback>
        <xdr:sp macro="" textlink="">
          <xdr:nvSpPr>
            <xdr:cNvPr id="0" name=""/>
            <xdr:cNvSpPr>
              <a:spLocks noTextEdit="1"/>
            </xdr:cNvSpPr>
          </xdr:nvSpPr>
          <xdr:spPr>
            <a:xfrm>
              <a:off x="8324850" y="2476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006.630631134256" createdVersion="6" refreshedVersion="6" minRefreshableVersion="3" recordCount="18">
  <cacheSource type="worksheet">
    <worksheetSource ref="A2:K20" sheet="employee performace sheet"/>
  </cacheSource>
  <cacheFields count="11">
    <cacheField name="sno" numFmtId="0">
      <sharedItems containsSemiMixedTypes="0" containsString="0" containsNumber="1" containsInteger="1" minValue="1" maxValue="18"/>
    </cacheField>
    <cacheField name="emp id" numFmtId="0">
      <sharedItems/>
    </cacheField>
    <cacheField name="empname" numFmtId="0">
      <sharedItems count="17">
        <s v="Abi"/>
        <s v="ganesh"/>
        <s v="venu"/>
        <s v="shiva"/>
        <s v="Gopika"/>
        <s v="dhanam"/>
        <s v="bablu"/>
        <s v="tesha"/>
        <s v="seela"/>
        <s v="barkavi"/>
        <s v="mithra"/>
        <s v="marudhu"/>
        <s v="muthu"/>
        <s v="dhivagar"/>
        <s v="dhinesh"/>
        <s v="mani"/>
        <s v="madhu"/>
      </sharedItems>
    </cacheField>
    <cacheField name="DateofJoining" numFmtId="14">
      <sharedItems containsSemiMixedTypes="0" containsNonDate="0" containsDate="1" containsString="0" minDate="2020-08-05T00:00:00" maxDate="2025-10-26T00:00:00" count="11">
        <d v="2024-01-26T00:00:00"/>
        <d v="2025-09-01T00:00:00"/>
        <d v="2023-10-09T00:00:00"/>
        <d v="2022-06-07T00:00:00"/>
        <d v="2025-10-24T00:00:00"/>
        <d v="2025-10-25T00:00:00"/>
        <d v="2022-09-04T00:00:00"/>
        <d v="2023-05-05T00:00:00"/>
        <d v="2020-08-05T00:00:00"/>
        <d v="2021-09-04T00:00:00"/>
        <d v="2020-12-03T00:00:00"/>
      </sharedItems>
    </cacheField>
    <cacheField name="Gender" numFmtId="0">
      <sharedItems count="2">
        <s v="Female"/>
        <s v="Male"/>
      </sharedItems>
    </cacheField>
    <cacheField name="designation" numFmtId="0">
      <sharedItems count="7">
        <s v="testing"/>
        <s v="sales"/>
        <s v="admin"/>
        <s v="manager"/>
        <s v="tl"/>
        <s v="developer"/>
        <s v="desinging"/>
      </sharedItems>
    </cacheField>
    <cacheField name="basic salary" numFmtId="0">
      <sharedItems containsSemiMixedTypes="0" containsString="0" containsNumber="1" containsInteger="1" minValue="24913" maxValue="64316"/>
    </cacheField>
    <cacheField name="rate" numFmtId="0">
      <sharedItems containsSemiMixedTypes="0" containsString="0" containsNumber="1" minValue="2.5" maxValue="12"/>
    </cacheField>
    <cacheField name="Performance" numFmtId="0">
      <sharedItems count="7">
        <s v="abovreAverage"/>
        <s v="Good"/>
        <s v="Excellent"/>
        <s v="belowAverage"/>
        <s v="average"/>
        <s v="worst"/>
        <b v="0"/>
      </sharedItems>
    </cacheField>
    <cacheField name="Appriasal" numFmtId="0">
      <sharedItems containsSemiMixedTypes="0" containsString="0" containsNumber="1" minValue="0" maxValue="19405.760000000002"/>
    </cacheField>
    <cacheField name="Gross Salary" numFmtId="0">
      <sharedItems containsSemiMixedTypes="0" containsString="0" containsNumber="1" minValue="23051.7" maxValue="73984.460000000006"/>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8">
  <r>
    <n v="1"/>
    <s v="Tcs001"/>
    <x v="0"/>
    <x v="0"/>
    <x v="0"/>
    <x v="0"/>
    <n v="34247"/>
    <n v="4"/>
    <x v="0"/>
    <n v="0"/>
    <n v="30822.3"/>
  </r>
  <r>
    <n v="2"/>
    <s v="Tcs002"/>
    <x v="1"/>
    <x v="1"/>
    <x v="1"/>
    <x v="1"/>
    <n v="51425"/>
    <n v="4.5"/>
    <x v="1"/>
    <n v="8228"/>
    <n v="54510.5"/>
  </r>
  <r>
    <n v="3"/>
    <s v="Tcs003"/>
    <x v="2"/>
    <x v="2"/>
    <x v="1"/>
    <x v="2"/>
    <n v="50194"/>
    <n v="5"/>
    <x v="2"/>
    <n v="16062.08"/>
    <n v="61236.68"/>
  </r>
  <r>
    <n v="4"/>
    <s v="Tcs004"/>
    <x v="3"/>
    <x v="3"/>
    <x v="1"/>
    <x v="3"/>
    <n v="43421"/>
    <n v="3"/>
    <x v="3"/>
    <n v="0"/>
    <n v="39078.9"/>
  </r>
  <r>
    <n v="5"/>
    <s v="Tcs005"/>
    <x v="4"/>
    <x v="4"/>
    <x v="0"/>
    <x v="4"/>
    <n v="44054"/>
    <n v="3.5"/>
    <x v="4"/>
    <n v="2643.24"/>
    <n v="42291.839999999997"/>
  </r>
  <r>
    <n v="6"/>
    <s v="Tcs006"/>
    <x v="5"/>
    <x v="5"/>
    <x v="0"/>
    <x v="1"/>
    <n v="64316"/>
    <n v="2.5"/>
    <x v="5"/>
    <n v="0"/>
    <n v="57884.4"/>
  </r>
  <r>
    <n v="7"/>
    <s v="Tcs007"/>
    <x v="3"/>
    <x v="6"/>
    <x v="1"/>
    <x v="5"/>
    <n v="42360"/>
    <n v="12"/>
    <x v="6"/>
    <n v="0"/>
    <n v="38124"/>
  </r>
  <r>
    <n v="8"/>
    <s v="Tcs008"/>
    <x v="6"/>
    <x v="7"/>
    <x v="1"/>
    <x v="6"/>
    <n v="60643"/>
    <n v="5"/>
    <x v="2"/>
    <n v="19405.760000000002"/>
    <n v="73984.460000000006"/>
  </r>
  <r>
    <n v="9"/>
    <s v="Tcs009"/>
    <x v="7"/>
    <x v="8"/>
    <x v="0"/>
    <x v="0"/>
    <n v="24913"/>
    <n v="4.5"/>
    <x v="1"/>
    <n v="3986.08"/>
    <n v="26407.780000000002"/>
  </r>
  <r>
    <n v="10"/>
    <s v="Tcs010"/>
    <x v="8"/>
    <x v="9"/>
    <x v="0"/>
    <x v="1"/>
    <n v="51957"/>
    <n v="3"/>
    <x v="3"/>
    <n v="0"/>
    <n v="46761.3"/>
  </r>
  <r>
    <n v="11"/>
    <s v="Tcs011"/>
    <x v="9"/>
    <x v="10"/>
    <x v="0"/>
    <x v="2"/>
    <n v="44061"/>
    <n v="3.5"/>
    <x v="4"/>
    <n v="2643.66"/>
    <n v="42298.560000000005"/>
  </r>
  <r>
    <n v="12"/>
    <s v="Tcs012"/>
    <x v="10"/>
    <x v="4"/>
    <x v="0"/>
    <x v="3"/>
    <n v="31111"/>
    <n v="4"/>
    <x v="0"/>
    <n v="0"/>
    <n v="27999.9"/>
  </r>
  <r>
    <n v="13"/>
    <s v="Tcs013"/>
    <x v="11"/>
    <x v="5"/>
    <x v="1"/>
    <x v="4"/>
    <n v="25613"/>
    <n v="4"/>
    <x v="0"/>
    <n v="0"/>
    <n v="23051.7"/>
  </r>
  <r>
    <n v="14"/>
    <s v="Tcs014"/>
    <x v="12"/>
    <x v="6"/>
    <x v="1"/>
    <x v="1"/>
    <n v="37970"/>
    <n v="4.5"/>
    <x v="1"/>
    <n v="6075.2"/>
    <n v="40248.199999999997"/>
  </r>
  <r>
    <n v="15"/>
    <s v="Tcs015"/>
    <x v="13"/>
    <x v="7"/>
    <x v="1"/>
    <x v="5"/>
    <n v="26281"/>
    <n v="5"/>
    <x v="2"/>
    <n v="8409.92"/>
    <n v="32062.82"/>
  </r>
  <r>
    <n v="16"/>
    <s v="Tcs016"/>
    <x v="14"/>
    <x v="8"/>
    <x v="1"/>
    <x v="6"/>
    <n v="51557"/>
    <n v="3"/>
    <x v="3"/>
    <n v="0"/>
    <n v="46401.3"/>
  </r>
  <r>
    <n v="17"/>
    <s v="Tcs017"/>
    <x v="15"/>
    <x v="9"/>
    <x v="1"/>
    <x v="0"/>
    <n v="51276"/>
    <n v="3.5"/>
    <x v="4"/>
    <n v="3076.56"/>
    <n v="49224.959999999999"/>
  </r>
  <r>
    <n v="18"/>
    <s v="Tcs018"/>
    <x v="16"/>
    <x v="10"/>
    <x v="0"/>
    <x v="1"/>
    <n v="50179"/>
    <n v="2.5"/>
    <x v="5"/>
    <n v="0"/>
    <n v="4516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21" firstHeaderRow="1" firstDataRow="1" firstDataCol="1"/>
  <pivotFields count="11">
    <pivotField showAll="0"/>
    <pivotField showAll="0"/>
    <pivotField axis="axisRow" showAll="0">
      <items count="18">
        <item x="0"/>
        <item x="6"/>
        <item x="9"/>
        <item x="5"/>
        <item x="14"/>
        <item x="13"/>
        <item x="1"/>
        <item x="4"/>
        <item x="16"/>
        <item x="15"/>
        <item x="11"/>
        <item x="10"/>
        <item x="12"/>
        <item x="8"/>
        <item x="3"/>
        <item x="7"/>
        <item x="2"/>
        <item t="default"/>
      </items>
    </pivotField>
    <pivotField numFmtId="14" showAll="0"/>
    <pivotField showAll="0"/>
    <pivotField showAll="0"/>
    <pivotField dataField="1" showAll="0"/>
    <pivotField showAll="0"/>
    <pivotField showAll="0"/>
    <pivotField showAll="0"/>
    <pivotField showAll="0"/>
  </pivotFields>
  <rowFields count="1">
    <field x="2"/>
  </rowFields>
  <rowItems count="18">
    <i>
      <x/>
    </i>
    <i>
      <x v="1"/>
    </i>
    <i>
      <x v="2"/>
    </i>
    <i>
      <x v="3"/>
    </i>
    <i>
      <x v="4"/>
    </i>
    <i>
      <x v="5"/>
    </i>
    <i>
      <x v="6"/>
    </i>
    <i>
      <x v="7"/>
    </i>
    <i>
      <x v="8"/>
    </i>
    <i>
      <x v="9"/>
    </i>
    <i>
      <x v="10"/>
    </i>
    <i>
      <x v="11"/>
    </i>
    <i>
      <x v="12"/>
    </i>
    <i>
      <x v="13"/>
    </i>
    <i>
      <x v="14"/>
    </i>
    <i>
      <x v="15"/>
    </i>
    <i>
      <x v="16"/>
    </i>
    <i t="grand">
      <x/>
    </i>
  </rowItems>
  <colItems count="1">
    <i/>
  </colItems>
  <dataFields count="1">
    <dataField name="Sum of basic salary" fld="6" baseField="0" baseItem="0"/>
  </dataFields>
  <chartFormats count="1">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8"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B29" firstHeaderRow="1" firstDataRow="1" firstDataCol="1"/>
  <pivotFields count="11">
    <pivotField showAll="0"/>
    <pivotField showAll="0"/>
    <pivotField axis="axisRow" showAll="0">
      <items count="18">
        <item x="0"/>
        <item x="6"/>
        <item x="9"/>
        <item x="5"/>
        <item x="14"/>
        <item x="13"/>
        <item x="1"/>
        <item x="4"/>
        <item x="16"/>
        <item x="15"/>
        <item x="11"/>
        <item x="10"/>
        <item x="12"/>
        <item x="8"/>
        <item x="3"/>
        <item x="7"/>
        <item x="2"/>
        <item t="default"/>
      </items>
    </pivotField>
    <pivotField numFmtId="14" showAll="0"/>
    <pivotField dataField="1" showAll="0">
      <items count="3">
        <item x="0"/>
        <item x="1"/>
        <item t="default"/>
      </items>
    </pivotField>
    <pivotField showAll="0"/>
    <pivotField showAll="0"/>
    <pivotField showAll="0"/>
    <pivotField axis="axisRow" showAll="0">
      <items count="8">
        <item x="0"/>
        <item x="4"/>
        <item x="3"/>
        <item x="2"/>
        <item x="1"/>
        <item x="5"/>
        <item x="6"/>
        <item t="default"/>
      </items>
    </pivotField>
    <pivotField showAll="0"/>
    <pivotField showAll="0"/>
  </pivotFields>
  <rowFields count="2">
    <field x="8"/>
    <field x="2"/>
  </rowFields>
  <rowItems count="26">
    <i>
      <x/>
    </i>
    <i r="1">
      <x/>
    </i>
    <i r="1">
      <x v="10"/>
    </i>
    <i r="1">
      <x v="11"/>
    </i>
    <i>
      <x v="1"/>
    </i>
    <i r="1">
      <x v="2"/>
    </i>
    <i r="1">
      <x v="7"/>
    </i>
    <i r="1">
      <x v="9"/>
    </i>
    <i>
      <x v="2"/>
    </i>
    <i r="1">
      <x v="4"/>
    </i>
    <i r="1">
      <x v="13"/>
    </i>
    <i r="1">
      <x v="14"/>
    </i>
    <i>
      <x v="3"/>
    </i>
    <i r="1">
      <x v="1"/>
    </i>
    <i r="1">
      <x v="5"/>
    </i>
    <i r="1">
      <x v="16"/>
    </i>
    <i>
      <x v="4"/>
    </i>
    <i r="1">
      <x v="6"/>
    </i>
    <i r="1">
      <x v="12"/>
    </i>
    <i r="1">
      <x v="15"/>
    </i>
    <i>
      <x v="5"/>
    </i>
    <i r="1">
      <x v="3"/>
    </i>
    <i r="1">
      <x v="8"/>
    </i>
    <i>
      <x v="6"/>
    </i>
    <i r="1">
      <x v="14"/>
    </i>
    <i t="grand">
      <x/>
    </i>
  </rowItems>
  <colItems count="1">
    <i/>
  </colItems>
  <dataFields count="1">
    <dataField name="Count of Gender" fld="4" subtotal="count" baseField="0" baseItem="0"/>
  </dataFields>
  <chartFormats count="1">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8"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chartFormat="1">
  <location ref="A3:D22" firstHeaderRow="1" firstDataRow="2" firstDataCol="1"/>
  <pivotFields count="11">
    <pivotField showAll="0"/>
    <pivotField showAll="0"/>
    <pivotField axis="axisRow" showAll="0">
      <items count="18">
        <item x="0"/>
        <item x="6"/>
        <item x="9"/>
        <item x="5"/>
        <item x="14"/>
        <item x="13"/>
        <item x="1"/>
        <item x="4"/>
        <item x="16"/>
        <item x="15"/>
        <item x="11"/>
        <item x="10"/>
        <item x="12"/>
        <item x="8"/>
        <item x="3"/>
        <item x="7"/>
        <item x="2"/>
        <item t="default"/>
      </items>
    </pivotField>
    <pivotField numFmtId="14" showAll="0">
      <items count="12">
        <item x="8"/>
        <item x="10"/>
        <item x="9"/>
        <item x="3"/>
        <item x="6"/>
        <item x="7"/>
        <item x="2"/>
        <item x="0"/>
        <item x="1"/>
        <item x="4"/>
        <item x="5"/>
        <item t="default"/>
      </items>
    </pivotField>
    <pivotField axis="axisCol" showAll="0">
      <items count="3">
        <item x="0"/>
        <item x="1"/>
        <item t="default"/>
      </items>
    </pivotField>
    <pivotField showAll="0">
      <items count="8">
        <item x="2"/>
        <item x="6"/>
        <item x="5"/>
        <item x="3"/>
        <item x="1"/>
        <item x="0"/>
        <item x="4"/>
        <item t="default"/>
      </items>
    </pivotField>
    <pivotField dataField="1" showAll="0"/>
    <pivotField showAll="0"/>
    <pivotField showAll="0">
      <items count="8">
        <item x="0"/>
        <item x="4"/>
        <item x="3"/>
        <item x="2"/>
        <item x="1"/>
        <item x="5"/>
        <item x="6"/>
        <item t="default"/>
      </items>
    </pivotField>
    <pivotField showAll="0"/>
    <pivotField showAll="0"/>
  </pivotFields>
  <rowFields count="1">
    <field x="2"/>
  </rowFields>
  <rowItems count="18">
    <i>
      <x/>
    </i>
    <i>
      <x v="1"/>
    </i>
    <i>
      <x v="2"/>
    </i>
    <i>
      <x v="3"/>
    </i>
    <i>
      <x v="4"/>
    </i>
    <i>
      <x v="5"/>
    </i>
    <i>
      <x v="6"/>
    </i>
    <i>
      <x v="7"/>
    </i>
    <i>
      <x v="8"/>
    </i>
    <i>
      <x v="9"/>
    </i>
    <i>
      <x v="10"/>
    </i>
    <i>
      <x v="11"/>
    </i>
    <i>
      <x v="12"/>
    </i>
    <i>
      <x v="13"/>
    </i>
    <i>
      <x v="14"/>
    </i>
    <i>
      <x v="15"/>
    </i>
    <i>
      <x v="16"/>
    </i>
    <i t="grand">
      <x/>
    </i>
  </rowItems>
  <colFields count="1">
    <field x="4"/>
  </colFields>
  <colItems count="3">
    <i>
      <x/>
    </i>
    <i>
      <x v="1"/>
    </i>
    <i t="grand">
      <x/>
    </i>
  </colItems>
  <dataFields count="1">
    <dataField name="Sum of basic salary"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4" name="PivotTable3"/>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erformance" sourceName="Performance">
  <pivotTables>
    <pivotTable tabId="4" name="PivotTable3"/>
  </pivotTables>
  <data>
    <tabular pivotCacheId="1">
      <items count="7">
        <i x="0" s="1"/>
        <i x="4" s="1"/>
        <i x="3" s="1"/>
        <i x="2" s="1"/>
        <i x="1" s="1"/>
        <i x="5"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esignation" sourceName="designation">
  <pivotTables>
    <pivotTable tabId="4" name="PivotTable3"/>
  </pivotTables>
  <data>
    <tabular pivotCacheId="1">
      <items count="7">
        <i x="2" s="1"/>
        <i x="6" s="1"/>
        <i x="5" s="1"/>
        <i x="3"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41300"/>
  <slicer name="Performance 1" cache="Slicer_Performance" caption="Performance" rowHeight="241300"/>
  <slicer name="designation" cache="Slicer_designation" caption="design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ofJoining" sourceName="DateofJoining">
  <pivotTables>
    <pivotTable tabId="4" name="PivotTable3"/>
  </pivotTables>
  <state minimalRefreshVersion="6" lastRefreshVersion="6" pivotCacheId="1" filterType="unknown">
    <bounds startDate="2020-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ofJoining" cache="NativeTimeline_DateofJoining" caption="DateofJoining" level="3" selectionLevel="3" scrollPosition="2022-12-27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1"/>
  <sheetViews>
    <sheetView tabSelected="1" workbookViewId="0">
      <selection activeCell="L9" sqref="L9"/>
    </sheetView>
  </sheetViews>
  <sheetFormatPr defaultRowHeight="15" x14ac:dyDescent="0.25"/>
  <cols>
    <col min="3" max="3" width="10" bestFit="1" customWidth="1"/>
    <col min="4" max="4" width="16.42578125" customWidth="1"/>
    <col min="5" max="5" width="10" customWidth="1"/>
    <col min="6" max="6" width="11.42578125" bestFit="1" customWidth="1"/>
    <col min="7" max="7" width="17.28515625" customWidth="1"/>
    <col min="9" max="9" width="17" customWidth="1"/>
    <col min="10" max="10" width="12.85546875" customWidth="1"/>
    <col min="11" max="11" width="19.140625" customWidth="1"/>
  </cols>
  <sheetData>
    <row r="1" spans="1:11" ht="27.75" customHeight="1" x14ac:dyDescent="0.3">
      <c r="A1" s="1" t="s">
        <v>48</v>
      </c>
      <c r="B1" s="2"/>
      <c r="C1" s="2"/>
      <c r="D1" s="2"/>
      <c r="E1" s="2"/>
      <c r="F1" s="2"/>
      <c r="G1" s="2"/>
      <c r="H1" s="2"/>
      <c r="I1" s="3"/>
      <c r="J1" s="3"/>
      <c r="K1" s="3"/>
    </row>
    <row r="2" spans="1:11" ht="27.75" customHeight="1" x14ac:dyDescent="0.25">
      <c r="A2" s="8" t="s">
        <v>0</v>
      </c>
      <c r="B2" s="8" t="s">
        <v>1</v>
      </c>
      <c r="C2" s="8" t="s">
        <v>2</v>
      </c>
      <c r="D2" s="8" t="s">
        <v>51</v>
      </c>
      <c r="E2" s="8" t="s">
        <v>52</v>
      </c>
      <c r="F2" s="8" t="s">
        <v>3</v>
      </c>
      <c r="G2" s="8" t="s">
        <v>4</v>
      </c>
      <c r="H2" s="8" t="s">
        <v>5</v>
      </c>
      <c r="I2" s="8" t="s">
        <v>49</v>
      </c>
      <c r="J2" s="8" t="s">
        <v>50</v>
      </c>
      <c r="K2" s="8" t="s">
        <v>56</v>
      </c>
    </row>
    <row r="3" spans="1:11" x14ac:dyDescent="0.25">
      <c r="A3" s="9">
        <v>1</v>
      </c>
      <c r="B3" s="9" t="s">
        <v>6</v>
      </c>
      <c r="C3" s="9" t="s">
        <v>24</v>
      </c>
      <c r="D3" s="10">
        <v>45317</v>
      </c>
      <c r="E3" s="9" t="s">
        <v>53</v>
      </c>
      <c r="F3" s="9" t="s">
        <v>41</v>
      </c>
      <c r="G3" s="9">
        <v>34247</v>
      </c>
      <c r="H3" s="9">
        <v>4</v>
      </c>
      <c r="I3" s="9" t="str">
        <f>IF(H3=5,"Excellent",IF(H3=4.5,"Good",IF(H3=4, "abovreAverage",IF(H3=3.5,"average",IF(H3=3,"belowAverage",IF(H3&lt;3,"worst"))))))</f>
        <v>abovreAverage</v>
      </c>
      <c r="J3" s="9">
        <f>IF(I3="Excellent",G3*0.32,IF(I3="Good",G3*0.16,IF(I3="Above Average",G3*0.09,IF(I3="Average",G3*0.06,0))))</f>
        <v>0</v>
      </c>
      <c r="K3" s="9">
        <f>(G3+J3)-(G3*0.1)</f>
        <v>30822.3</v>
      </c>
    </row>
    <row r="4" spans="1:11" x14ac:dyDescent="0.25">
      <c r="A4" s="9">
        <v>2</v>
      </c>
      <c r="B4" s="9" t="s">
        <v>7</v>
      </c>
      <c r="C4" s="9" t="s">
        <v>25</v>
      </c>
      <c r="D4" s="10">
        <v>45901</v>
      </c>
      <c r="E4" s="9" t="s">
        <v>54</v>
      </c>
      <c r="F4" s="9" t="s">
        <v>42</v>
      </c>
      <c r="G4" s="9">
        <v>51425</v>
      </c>
      <c r="H4" s="9">
        <v>4.5</v>
      </c>
      <c r="I4" s="9" t="str">
        <f t="shared" ref="I4:I20" si="0">IF(H4=5,"Excellent",IF(H4=4.5,"Good",IF(H4=4, "abovreAverage",IF(H4=3.5,"average",IF(H4=3,"belowAverage",IF(H4&lt;3,"worst"))))))</f>
        <v>Good</v>
      </c>
      <c r="J4" s="9">
        <f t="shared" ref="J4:J20" si="1">IF(I4="Excellent",G4*0.32,IF(I4="Good",G4*0.16,IF(I4="Above Average",G4*0.09,IF(I4="Average",G4*0.06,0))))</f>
        <v>8228</v>
      </c>
      <c r="K4" s="9">
        <f t="shared" ref="K4:K20" si="2">(G4+J4)-(G4*0.1)</f>
        <v>54510.5</v>
      </c>
    </row>
    <row r="5" spans="1:11" x14ac:dyDescent="0.25">
      <c r="A5" s="9">
        <v>3</v>
      </c>
      <c r="B5" s="9" t="s">
        <v>8</v>
      </c>
      <c r="C5" s="9" t="s">
        <v>26</v>
      </c>
      <c r="D5" s="10">
        <v>45208</v>
      </c>
      <c r="E5" s="9" t="s">
        <v>55</v>
      </c>
      <c r="F5" s="9" t="s">
        <v>43</v>
      </c>
      <c r="G5" s="9">
        <v>50194</v>
      </c>
      <c r="H5" s="9">
        <v>5</v>
      </c>
      <c r="I5" s="9" t="str">
        <f t="shared" si="0"/>
        <v>Excellent</v>
      </c>
      <c r="J5" s="9">
        <f t="shared" si="1"/>
        <v>16062.08</v>
      </c>
      <c r="K5" s="9">
        <f t="shared" si="2"/>
        <v>61236.68</v>
      </c>
    </row>
    <row r="6" spans="1:11" x14ac:dyDescent="0.25">
      <c r="A6" s="9">
        <v>4</v>
      </c>
      <c r="B6" s="9" t="s">
        <v>9</v>
      </c>
      <c r="C6" s="9" t="s">
        <v>27</v>
      </c>
      <c r="D6" s="10">
        <v>44719</v>
      </c>
      <c r="E6" s="9" t="s">
        <v>54</v>
      </c>
      <c r="F6" s="9" t="s">
        <v>44</v>
      </c>
      <c r="G6" s="9">
        <v>43421</v>
      </c>
      <c r="H6" s="9">
        <v>3</v>
      </c>
      <c r="I6" s="9" t="str">
        <f t="shared" si="0"/>
        <v>belowAverage</v>
      </c>
      <c r="J6" s="9">
        <f t="shared" si="1"/>
        <v>0</v>
      </c>
      <c r="K6" s="9">
        <f t="shared" si="2"/>
        <v>39078.9</v>
      </c>
    </row>
    <row r="7" spans="1:11" x14ac:dyDescent="0.25">
      <c r="A7" s="9">
        <v>5</v>
      </c>
      <c r="B7" s="9" t="s">
        <v>10</v>
      </c>
      <c r="C7" s="9" t="s">
        <v>28</v>
      </c>
      <c r="D7" s="10">
        <v>45954</v>
      </c>
      <c r="E7" s="9" t="s">
        <v>53</v>
      </c>
      <c r="F7" s="9" t="s">
        <v>45</v>
      </c>
      <c r="G7" s="9">
        <v>44054</v>
      </c>
      <c r="H7" s="9">
        <v>3.5</v>
      </c>
      <c r="I7" s="9" t="str">
        <f t="shared" si="0"/>
        <v>average</v>
      </c>
      <c r="J7" s="9">
        <f t="shared" si="1"/>
        <v>2643.24</v>
      </c>
      <c r="K7" s="9">
        <f t="shared" si="2"/>
        <v>42291.839999999997</v>
      </c>
    </row>
    <row r="8" spans="1:11" x14ac:dyDescent="0.25">
      <c r="A8" s="9">
        <v>6</v>
      </c>
      <c r="B8" s="9" t="s">
        <v>11</v>
      </c>
      <c r="C8" s="9" t="s">
        <v>29</v>
      </c>
      <c r="D8" s="10">
        <v>45955</v>
      </c>
      <c r="E8" s="9" t="s">
        <v>53</v>
      </c>
      <c r="F8" s="9" t="s">
        <v>42</v>
      </c>
      <c r="G8" s="9">
        <v>64316</v>
      </c>
      <c r="H8" s="9">
        <v>2.5</v>
      </c>
      <c r="I8" s="9" t="str">
        <f t="shared" si="0"/>
        <v>worst</v>
      </c>
      <c r="J8" s="9">
        <f t="shared" si="1"/>
        <v>0</v>
      </c>
      <c r="K8" s="9">
        <f t="shared" si="2"/>
        <v>57884.4</v>
      </c>
    </row>
    <row r="9" spans="1:11" x14ac:dyDescent="0.25">
      <c r="A9" s="9">
        <v>7</v>
      </c>
      <c r="B9" s="9" t="s">
        <v>12</v>
      </c>
      <c r="C9" s="9" t="s">
        <v>27</v>
      </c>
      <c r="D9" s="10">
        <v>44808</v>
      </c>
      <c r="E9" s="9" t="s">
        <v>54</v>
      </c>
      <c r="F9" s="9" t="s">
        <v>46</v>
      </c>
      <c r="G9" s="9">
        <v>42360</v>
      </c>
      <c r="H9" s="9">
        <v>12</v>
      </c>
      <c r="I9" s="9" t="b">
        <f t="shared" si="0"/>
        <v>0</v>
      </c>
      <c r="J9" s="9">
        <f t="shared" si="1"/>
        <v>0</v>
      </c>
      <c r="K9" s="9">
        <f t="shared" si="2"/>
        <v>38124</v>
      </c>
    </row>
    <row r="10" spans="1:11" x14ac:dyDescent="0.25">
      <c r="A10" s="9">
        <v>8</v>
      </c>
      <c r="B10" s="9" t="s">
        <v>13</v>
      </c>
      <c r="C10" s="9" t="s">
        <v>30</v>
      </c>
      <c r="D10" s="10">
        <v>45051</v>
      </c>
      <c r="E10" s="9" t="s">
        <v>54</v>
      </c>
      <c r="F10" s="9" t="s">
        <v>47</v>
      </c>
      <c r="G10" s="9">
        <v>60643</v>
      </c>
      <c r="H10" s="9">
        <v>5</v>
      </c>
      <c r="I10" s="9" t="str">
        <f t="shared" si="0"/>
        <v>Excellent</v>
      </c>
      <c r="J10" s="9">
        <f t="shared" si="1"/>
        <v>19405.760000000002</v>
      </c>
      <c r="K10" s="9">
        <f t="shared" si="2"/>
        <v>73984.460000000006</v>
      </c>
    </row>
    <row r="11" spans="1:11" x14ac:dyDescent="0.25">
      <c r="A11" s="9">
        <v>9</v>
      </c>
      <c r="B11" s="9" t="s">
        <v>14</v>
      </c>
      <c r="C11" s="9" t="s">
        <v>31</v>
      </c>
      <c r="D11" s="10">
        <v>44048</v>
      </c>
      <c r="E11" s="9" t="s">
        <v>53</v>
      </c>
      <c r="F11" s="9" t="s">
        <v>41</v>
      </c>
      <c r="G11" s="9">
        <v>24913</v>
      </c>
      <c r="H11" s="9">
        <v>4.5</v>
      </c>
      <c r="I11" s="9" t="str">
        <f t="shared" si="0"/>
        <v>Good</v>
      </c>
      <c r="J11" s="9">
        <f t="shared" si="1"/>
        <v>3986.08</v>
      </c>
      <c r="K11" s="9">
        <f t="shared" si="2"/>
        <v>26407.780000000002</v>
      </c>
    </row>
    <row r="12" spans="1:11" x14ac:dyDescent="0.25">
      <c r="A12" s="9">
        <v>10</v>
      </c>
      <c r="B12" s="9" t="s">
        <v>15</v>
      </c>
      <c r="C12" s="9" t="s">
        <v>32</v>
      </c>
      <c r="D12" s="10">
        <v>44443</v>
      </c>
      <c r="E12" s="9" t="s">
        <v>53</v>
      </c>
      <c r="F12" s="9" t="s">
        <v>42</v>
      </c>
      <c r="G12" s="9">
        <v>51957</v>
      </c>
      <c r="H12" s="9">
        <v>3</v>
      </c>
      <c r="I12" s="9" t="str">
        <f t="shared" si="0"/>
        <v>belowAverage</v>
      </c>
      <c r="J12" s="9">
        <f t="shared" si="1"/>
        <v>0</v>
      </c>
      <c r="K12" s="9">
        <f t="shared" si="2"/>
        <v>46761.3</v>
      </c>
    </row>
    <row r="13" spans="1:11" x14ac:dyDescent="0.25">
      <c r="A13" s="9">
        <v>11</v>
      </c>
      <c r="B13" s="9" t="s">
        <v>16</v>
      </c>
      <c r="C13" s="9" t="s">
        <v>33</v>
      </c>
      <c r="D13" s="10">
        <v>44168</v>
      </c>
      <c r="E13" s="9" t="s">
        <v>53</v>
      </c>
      <c r="F13" s="9" t="s">
        <v>43</v>
      </c>
      <c r="G13" s="9">
        <v>44061</v>
      </c>
      <c r="H13" s="9">
        <v>3.5</v>
      </c>
      <c r="I13" s="9" t="str">
        <f t="shared" si="0"/>
        <v>average</v>
      </c>
      <c r="J13" s="9">
        <f t="shared" si="1"/>
        <v>2643.66</v>
      </c>
      <c r="K13" s="9">
        <f t="shared" si="2"/>
        <v>42298.560000000005</v>
      </c>
    </row>
    <row r="14" spans="1:11" x14ac:dyDescent="0.25">
      <c r="A14" s="9">
        <v>12</v>
      </c>
      <c r="B14" s="9" t="s">
        <v>17</v>
      </c>
      <c r="C14" s="9" t="s">
        <v>34</v>
      </c>
      <c r="D14" s="10">
        <v>45954</v>
      </c>
      <c r="E14" s="9" t="s">
        <v>53</v>
      </c>
      <c r="F14" s="9" t="s">
        <v>44</v>
      </c>
      <c r="G14" s="9">
        <v>31111</v>
      </c>
      <c r="H14" s="9">
        <v>4</v>
      </c>
      <c r="I14" s="9" t="str">
        <f t="shared" si="0"/>
        <v>abovreAverage</v>
      </c>
      <c r="J14" s="9">
        <f t="shared" si="1"/>
        <v>0</v>
      </c>
      <c r="K14" s="9">
        <f t="shared" si="2"/>
        <v>27999.9</v>
      </c>
    </row>
    <row r="15" spans="1:11" x14ac:dyDescent="0.25">
      <c r="A15" s="9">
        <v>13</v>
      </c>
      <c r="B15" s="9" t="s">
        <v>18</v>
      </c>
      <c r="C15" s="9" t="s">
        <v>35</v>
      </c>
      <c r="D15" s="10">
        <v>45955</v>
      </c>
      <c r="E15" s="9" t="s">
        <v>54</v>
      </c>
      <c r="F15" s="9" t="s">
        <v>45</v>
      </c>
      <c r="G15" s="9">
        <v>25613</v>
      </c>
      <c r="H15" s="9">
        <v>4</v>
      </c>
      <c r="I15" s="9" t="str">
        <f t="shared" si="0"/>
        <v>abovreAverage</v>
      </c>
      <c r="J15" s="9">
        <f t="shared" si="1"/>
        <v>0</v>
      </c>
      <c r="K15" s="9">
        <f t="shared" si="2"/>
        <v>23051.7</v>
      </c>
    </row>
    <row r="16" spans="1:11" x14ac:dyDescent="0.25">
      <c r="A16" s="9">
        <v>14</v>
      </c>
      <c r="B16" s="9" t="s">
        <v>19</v>
      </c>
      <c r="C16" s="9" t="s">
        <v>36</v>
      </c>
      <c r="D16" s="10">
        <v>44808</v>
      </c>
      <c r="E16" s="9" t="s">
        <v>54</v>
      </c>
      <c r="F16" s="9" t="s">
        <v>42</v>
      </c>
      <c r="G16" s="9">
        <v>37970</v>
      </c>
      <c r="H16" s="9">
        <v>4.5</v>
      </c>
      <c r="I16" s="9" t="str">
        <f t="shared" si="0"/>
        <v>Good</v>
      </c>
      <c r="J16" s="9">
        <f t="shared" si="1"/>
        <v>6075.2</v>
      </c>
      <c r="K16" s="9">
        <f t="shared" si="2"/>
        <v>40248.199999999997</v>
      </c>
    </row>
    <row r="17" spans="1:11" x14ac:dyDescent="0.25">
      <c r="A17" s="9">
        <v>15</v>
      </c>
      <c r="B17" s="9" t="s">
        <v>20</v>
      </c>
      <c r="C17" s="9" t="s">
        <v>37</v>
      </c>
      <c r="D17" s="10">
        <v>45051</v>
      </c>
      <c r="E17" s="9" t="s">
        <v>54</v>
      </c>
      <c r="F17" s="9" t="s">
        <v>46</v>
      </c>
      <c r="G17" s="9">
        <v>26281</v>
      </c>
      <c r="H17" s="9">
        <v>5</v>
      </c>
      <c r="I17" s="9" t="str">
        <f t="shared" si="0"/>
        <v>Excellent</v>
      </c>
      <c r="J17" s="9">
        <f t="shared" si="1"/>
        <v>8409.92</v>
      </c>
      <c r="K17" s="9">
        <f t="shared" si="2"/>
        <v>32062.82</v>
      </c>
    </row>
    <row r="18" spans="1:11" x14ac:dyDescent="0.25">
      <c r="A18" s="9">
        <v>16</v>
      </c>
      <c r="B18" s="9" t="s">
        <v>21</v>
      </c>
      <c r="C18" s="9" t="s">
        <v>38</v>
      </c>
      <c r="D18" s="10">
        <v>44048</v>
      </c>
      <c r="E18" s="9" t="s">
        <v>54</v>
      </c>
      <c r="F18" s="9" t="s">
        <v>47</v>
      </c>
      <c r="G18" s="9">
        <v>51557</v>
      </c>
      <c r="H18" s="9">
        <v>3</v>
      </c>
      <c r="I18" s="9" t="str">
        <f t="shared" si="0"/>
        <v>belowAverage</v>
      </c>
      <c r="J18" s="9">
        <f t="shared" si="1"/>
        <v>0</v>
      </c>
      <c r="K18" s="9">
        <f t="shared" si="2"/>
        <v>46401.3</v>
      </c>
    </row>
    <row r="19" spans="1:11" x14ac:dyDescent="0.25">
      <c r="A19" s="9">
        <v>17</v>
      </c>
      <c r="B19" s="9" t="s">
        <v>22</v>
      </c>
      <c r="C19" s="9" t="s">
        <v>39</v>
      </c>
      <c r="D19" s="10">
        <v>44443</v>
      </c>
      <c r="E19" s="9" t="s">
        <v>54</v>
      </c>
      <c r="F19" s="9" t="s">
        <v>41</v>
      </c>
      <c r="G19" s="9">
        <v>51276</v>
      </c>
      <c r="H19" s="9">
        <v>3.5</v>
      </c>
      <c r="I19" s="9" t="str">
        <f t="shared" si="0"/>
        <v>average</v>
      </c>
      <c r="J19" s="9">
        <f t="shared" si="1"/>
        <v>3076.56</v>
      </c>
      <c r="K19" s="9">
        <f t="shared" si="2"/>
        <v>49224.959999999999</v>
      </c>
    </row>
    <row r="20" spans="1:11" x14ac:dyDescent="0.25">
      <c r="A20" s="9">
        <v>18</v>
      </c>
      <c r="B20" s="9" t="s">
        <v>23</v>
      </c>
      <c r="C20" s="9" t="s">
        <v>40</v>
      </c>
      <c r="D20" s="10">
        <v>44168</v>
      </c>
      <c r="E20" s="9" t="s">
        <v>53</v>
      </c>
      <c r="F20" s="9" t="s">
        <v>42</v>
      </c>
      <c r="G20" s="9">
        <v>50179</v>
      </c>
      <c r="H20" s="9">
        <v>2.5</v>
      </c>
      <c r="I20" s="9" t="str">
        <f t="shared" si="0"/>
        <v>worst</v>
      </c>
      <c r="J20" s="9">
        <f t="shared" si="1"/>
        <v>0</v>
      </c>
      <c r="K20" s="9">
        <f t="shared" si="2"/>
        <v>45161.1</v>
      </c>
    </row>
    <row r="21" spans="1:11" x14ac:dyDescent="0.25">
      <c r="A21" s="9"/>
      <c r="B21" s="9"/>
      <c r="C21" s="9"/>
      <c r="D21" s="9"/>
      <c r="E21" s="9"/>
      <c r="F21" s="9"/>
      <c r="G21" s="9"/>
      <c r="H21" s="9"/>
      <c r="I21" s="9"/>
      <c r="J21" s="9"/>
      <c r="K21" s="9"/>
    </row>
  </sheetData>
  <mergeCells count="1">
    <mergeCell ref="A1:H1"/>
  </mergeCells>
  <conditionalFormatting sqref="C12">
    <cfRule type="colorScale" priority="11">
      <colorScale>
        <cfvo type="min"/>
        <cfvo type="max"/>
        <color rgb="FFFF7128"/>
        <color rgb="FFFFEF9C"/>
      </colorScale>
    </cfRule>
  </conditionalFormatting>
  <conditionalFormatting sqref="J3:J20">
    <cfRule type="cellIs" dxfId="9" priority="10" operator="equal">
      <formula>0</formula>
    </cfRule>
    <cfRule type="cellIs" dxfId="8" priority="9" operator="equal">
      <formula>0</formula>
    </cfRule>
  </conditionalFormatting>
  <conditionalFormatting sqref="K3:K20">
    <cfRule type="iconSet" priority="8">
      <iconSet iconSet="3Flags">
        <cfvo type="percent" val="0"/>
        <cfvo type="percent" val="33"/>
        <cfvo type="percent" val="67"/>
      </iconSet>
    </cfRule>
  </conditionalFormatting>
  <conditionalFormatting sqref="H3:H20">
    <cfRule type="cellIs" dxfId="7" priority="7" operator="between">
      <formula>4</formula>
      <formula>5</formula>
    </cfRule>
    <cfRule type="cellIs" dxfId="6" priority="6" operator="greaterThan">
      <formula>3</formula>
    </cfRule>
    <cfRule type="cellIs" dxfId="5" priority="5" operator="greaterThan">
      <formula>3</formula>
    </cfRule>
  </conditionalFormatting>
  <conditionalFormatting sqref="K3:K21">
    <cfRule type="dataBar" priority="4">
      <dataBar>
        <cfvo type="min"/>
        <cfvo type="max"/>
        <color rgb="FF638EC6"/>
      </dataBar>
      <extLst>
        <ext xmlns:x14="http://schemas.microsoft.com/office/spreadsheetml/2009/9/main" uri="{B025F937-C7B1-47D3-B67F-A62EFF666E3E}">
          <x14:id>{EBC0509C-55CF-4387-AB8D-86B1D6FF9D72}</x14:id>
        </ext>
      </extLst>
    </cfRule>
    <cfRule type="iconSet" priority="3">
      <iconSet iconSet="4Rating">
        <cfvo type="percent" val="0"/>
        <cfvo type="percent" val="25"/>
        <cfvo type="percent" val="50"/>
        <cfvo type="percent" val="75"/>
      </iconSet>
    </cfRule>
    <cfRule type="colorScale" priority="1">
      <colorScale>
        <cfvo type="min"/>
        <cfvo type="max"/>
        <color rgb="FFFFEF9C"/>
        <color rgb="FF63BE7B"/>
      </colorScale>
    </cfRule>
  </conditionalFormatting>
  <conditionalFormatting sqref="M18">
    <cfRule type="dataBar" priority="2">
      <dataBar>
        <cfvo type="min"/>
        <cfvo type="max"/>
        <color rgb="FF63C384"/>
      </dataBar>
      <extLst>
        <ext xmlns:x14="http://schemas.microsoft.com/office/spreadsheetml/2009/9/main" uri="{B025F937-C7B1-47D3-B67F-A62EFF666E3E}">
          <x14:id>{EDCE4EF8-F7F3-4C64-83B9-C5805A0A13B6}</x14:id>
        </ext>
      </extLst>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EBC0509C-55CF-4387-AB8D-86B1D6FF9D72}">
            <x14:dataBar minLength="0" maxLength="100" border="1" negativeBarBorderColorSameAsPositive="0">
              <x14:cfvo type="autoMin"/>
              <x14:cfvo type="autoMax"/>
              <x14:borderColor rgb="FF638EC6"/>
              <x14:negativeFillColor rgb="FFFF0000"/>
              <x14:negativeBorderColor rgb="FFFF0000"/>
              <x14:axisColor rgb="FF000000"/>
            </x14:dataBar>
          </x14:cfRule>
          <xm:sqref>K3:K21</xm:sqref>
        </x14:conditionalFormatting>
        <x14:conditionalFormatting xmlns:xm="http://schemas.microsoft.com/office/excel/2006/main">
          <x14:cfRule type="dataBar" id="{EDCE4EF8-F7F3-4C64-83B9-C5805A0A13B6}">
            <x14:dataBar minLength="0" maxLength="100" border="1" negativeBarBorderColorSameAsPositive="0">
              <x14:cfvo type="autoMin"/>
              <x14:cfvo type="autoMax"/>
              <x14:borderColor rgb="FF63C384"/>
              <x14:negativeFillColor rgb="FFFF0000"/>
              <x14:negativeBorderColor rgb="FFFF0000"/>
              <x14:axisColor rgb="FF000000"/>
            </x14:dataBar>
          </x14:cfRule>
          <xm:sqref>M18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1"/>
  <sheetViews>
    <sheetView workbookViewId="0">
      <selection activeCell="N12" sqref="N12"/>
    </sheetView>
  </sheetViews>
  <sheetFormatPr defaultRowHeight="15" x14ac:dyDescent="0.25"/>
  <cols>
    <col min="1" max="1" width="13.140625" bestFit="1" customWidth="1"/>
    <col min="2" max="2" width="17.85546875" bestFit="1" customWidth="1"/>
  </cols>
  <sheetData>
    <row r="3" spans="1:2" x14ac:dyDescent="0.25">
      <c r="A3" s="4" t="s">
        <v>57</v>
      </c>
      <c r="B3" t="s">
        <v>59</v>
      </c>
    </row>
    <row r="4" spans="1:2" x14ac:dyDescent="0.25">
      <c r="A4" s="5" t="s">
        <v>24</v>
      </c>
      <c r="B4" s="6">
        <v>34247</v>
      </c>
    </row>
    <row r="5" spans="1:2" x14ac:dyDescent="0.25">
      <c r="A5" s="5" t="s">
        <v>30</v>
      </c>
      <c r="B5" s="6">
        <v>60643</v>
      </c>
    </row>
    <row r="6" spans="1:2" x14ac:dyDescent="0.25">
      <c r="A6" s="5" t="s">
        <v>33</v>
      </c>
      <c r="B6" s="6">
        <v>44061</v>
      </c>
    </row>
    <row r="7" spans="1:2" x14ac:dyDescent="0.25">
      <c r="A7" s="5" t="s">
        <v>29</v>
      </c>
      <c r="B7" s="6">
        <v>64316</v>
      </c>
    </row>
    <row r="8" spans="1:2" x14ac:dyDescent="0.25">
      <c r="A8" s="5" t="s">
        <v>38</v>
      </c>
      <c r="B8" s="6">
        <v>51557</v>
      </c>
    </row>
    <row r="9" spans="1:2" x14ac:dyDescent="0.25">
      <c r="A9" s="5" t="s">
        <v>37</v>
      </c>
      <c r="B9" s="6">
        <v>26281</v>
      </c>
    </row>
    <row r="10" spans="1:2" x14ac:dyDescent="0.25">
      <c r="A10" s="5" t="s">
        <v>25</v>
      </c>
      <c r="B10" s="6">
        <v>51425</v>
      </c>
    </row>
    <row r="11" spans="1:2" x14ac:dyDescent="0.25">
      <c r="A11" s="5" t="s">
        <v>28</v>
      </c>
      <c r="B11" s="6">
        <v>44054</v>
      </c>
    </row>
    <row r="12" spans="1:2" x14ac:dyDescent="0.25">
      <c r="A12" s="5" t="s">
        <v>40</v>
      </c>
      <c r="B12" s="6">
        <v>50179</v>
      </c>
    </row>
    <row r="13" spans="1:2" x14ac:dyDescent="0.25">
      <c r="A13" s="5" t="s">
        <v>39</v>
      </c>
      <c r="B13" s="6">
        <v>51276</v>
      </c>
    </row>
    <row r="14" spans="1:2" x14ac:dyDescent="0.25">
      <c r="A14" s="5" t="s">
        <v>35</v>
      </c>
      <c r="B14" s="6">
        <v>25613</v>
      </c>
    </row>
    <row r="15" spans="1:2" x14ac:dyDescent="0.25">
      <c r="A15" s="5" t="s">
        <v>34</v>
      </c>
      <c r="B15" s="6">
        <v>31111</v>
      </c>
    </row>
    <row r="16" spans="1:2" x14ac:dyDescent="0.25">
      <c r="A16" s="5" t="s">
        <v>36</v>
      </c>
      <c r="B16" s="6">
        <v>37970</v>
      </c>
    </row>
    <row r="17" spans="1:2" x14ac:dyDescent="0.25">
      <c r="A17" s="5" t="s">
        <v>32</v>
      </c>
      <c r="B17" s="6">
        <v>51957</v>
      </c>
    </row>
    <row r="18" spans="1:2" x14ac:dyDescent="0.25">
      <c r="A18" s="5" t="s">
        <v>27</v>
      </c>
      <c r="B18" s="6">
        <v>85781</v>
      </c>
    </row>
    <row r="19" spans="1:2" x14ac:dyDescent="0.25">
      <c r="A19" s="5" t="s">
        <v>31</v>
      </c>
      <c r="B19" s="6">
        <v>24913</v>
      </c>
    </row>
    <row r="20" spans="1:2" x14ac:dyDescent="0.25">
      <c r="A20" s="5" t="s">
        <v>26</v>
      </c>
      <c r="B20" s="6">
        <v>50194</v>
      </c>
    </row>
    <row r="21" spans="1:2" x14ac:dyDescent="0.25">
      <c r="A21" s="5" t="s">
        <v>58</v>
      </c>
      <c r="B21" s="6">
        <v>785578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9"/>
  <sheetViews>
    <sheetView workbookViewId="0">
      <selection activeCell="N11" sqref="N11"/>
    </sheetView>
  </sheetViews>
  <sheetFormatPr defaultRowHeight="15" x14ac:dyDescent="0.25"/>
  <cols>
    <col min="1" max="1" width="16.42578125" customWidth="1"/>
    <col min="2" max="2" width="15.85546875" customWidth="1"/>
  </cols>
  <sheetData>
    <row r="3" spans="1:2" x14ac:dyDescent="0.25">
      <c r="A3" s="4" t="s">
        <v>57</v>
      </c>
      <c r="B3" t="s">
        <v>67</v>
      </c>
    </row>
    <row r="4" spans="1:2" x14ac:dyDescent="0.25">
      <c r="A4" s="5" t="s">
        <v>60</v>
      </c>
      <c r="B4" s="6">
        <v>3</v>
      </c>
    </row>
    <row r="5" spans="1:2" x14ac:dyDescent="0.25">
      <c r="A5" s="7" t="s">
        <v>24</v>
      </c>
      <c r="B5" s="6">
        <v>1</v>
      </c>
    </row>
    <row r="6" spans="1:2" x14ac:dyDescent="0.25">
      <c r="A6" s="7" t="s">
        <v>35</v>
      </c>
      <c r="B6" s="6">
        <v>1</v>
      </c>
    </row>
    <row r="7" spans="1:2" x14ac:dyDescent="0.25">
      <c r="A7" s="7" t="s">
        <v>34</v>
      </c>
      <c r="B7" s="6">
        <v>1</v>
      </c>
    </row>
    <row r="8" spans="1:2" x14ac:dyDescent="0.25">
      <c r="A8" s="5" t="s">
        <v>61</v>
      </c>
      <c r="B8" s="6">
        <v>3</v>
      </c>
    </row>
    <row r="9" spans="1:2" x14ac:dyDescent="0.25">
      <c r="A9" s="7" t="s">
        <v>33</v>
      </c>
      <c r="B9" s="6">
        <v>1</v>
      </c>
    </row>
    <row r="10" spans="1:2" x14ac:dyDescent="0.25">
      <c r="A10" s="7" t="s">
        <v>28</v>
      </c>
      <c r="B10" s="6">
        <v>1</v>
      </c>
    </row>
    <row r="11" spans="1:2" x14ac:dyDescent="0.25">
      <c r="A11" s="7" t="s">
        <v>39</v>
      </c>
      <c r="B11" s="6">
        <v>1</v>
      </c>
    </row>
    <row r="12" spans="1:2" x14ac:dyDescent="0.25">
      <c r="A12" s="5" t="s">
        <v>62</v>
      </c>
      <c r="B12" s="6">
        <v>3</v>
      </c>
    </row>
    <row r="13" spans="1:2" x14ac:dyDescent="0.25">
      <c r="A13" s="7" t="s">
        <v>38</v>
      </c>
      <c r="B13" s="6">
        <v>1</v>
      </c>
    </row>
    <row r="14" spans="1:2" x14ac:dyDescent="0.25">
      <c r="A14" s="7" t="s">
        <v>32</v>
      </c>
      <c r="B14" s="6">
        <v>1</v>
      </c>
    </row>
    <row r="15" spans="1:2" x14ac:dyDescent="0.25">
      <c r="A15" s="7" t="s">
        <v>27</v>
      </c>
      <c r="B15" s="6">
        <v>1</v>
      </c>
    </row>
    <row r="16" spans="1:2" x14ac:dyDescent="0.25">
      <c r="A16" s="5" t="s">
        <v>63</v>
      </c>
      <c r="B16" s="6">
        <v>3</v>
      </c>
    </row>
    <row r="17" spans="1:2" x14ac:dyDescent="0.25">
      <c r="A17" s="7" t="s">
        <v>30</v>
      </c>
      <c r="B17" s="6">
        <v>1</v>
      </c>
    </row>
    <row r="18" spans="1:2" x14ac:dyDescent="0.25">
      <c r="A18" s="7" t="s">
        <v>37</v>
      </c>
      <c r="B18" s="6">
        <v>1</v>
      </c>
    </row>
    <row r="19" spans="1:2" x14ac:dyDescent="0.25">
      <c r="A19" s="7" t="s">
        <v>26</v>
      </c>
      <c r="B19" s="6">
        <v>1</v>
      </c>
    </row>
    <row r="20" spans="1:2" x14ac:dyDescent="0.25">
      <c r="A20" s="5" t="s">
        <v>64</v>
      </c>
      <c r="B20" s="6">
        <v>3</v>
      </c>
    </row>
    <row r="21" spans="1:2" x14ac:dyDescent="0.25">
      <c r="A21" s="7" t="s">
        <v>25</v>
      </c>
      <c r="B21" s="6">
        <v>1</v>
      </c>
    </row>
    <row r="22" spans="1:2" x14ac:dyDescent="0.25">
      <c r="A22" s="7" t="s">
        <v>36</v>
      </c>
      <c r="B22" s="6">
        <v>1</v>
      </c>
    </row>
    <row r="23" spans="1:2" x14ac:dyDescent="0.25">
      <c r="A23" s="7" t="s">
        <v>31</v>
      </c>
      <c r="B23" s="6">
        <v>1</v>
      </c>
    </row>
    <row r="24" spans="1:2" x14ac:dyDescent="0.25">
      <c r="A24" s="5" t="s">
        <v>65</v>
      </c>
      <c r="B24" s="6">
        <v>2</v>
      </c>
    </row>
    <row r="25" spans="1:2" x14ac:dyDescent="0.25">
      <c r="A25" s="7" t="s">
        <v>29</v>
      </c>
      <c r="B25" s="6">
        <v>1</v>
      </c>
    </row>
    <row r="26" spans="1:2" x14ac:dyDescent="0.25">
      <c r="A26" s="7" t="s">
        <v>40</v>
      </c>
      <c r="B26" s="6">
        <v>1</v>
      </c>
    </row>
    <row r="27" spans="1:2" x14ac:dyDescent="0.25">
      <c r="A27" s="5" t="s">
        <v>66</v>
      </c>
      <c r="B27" s="6">
        <v>1</v>
      </c>
    </row>
    <row r="28" spans="1:2" x14ac:dyDescent="0.25">
      <c r="A28" s="7" t="s">
        <v>27</v>
      </c>
      <c r="B28" s="6">
        <v>1</v>
      </c>
    </row>
    <row r="29" spans="1:2" x14ac:dyDescent="0.25">
      <c r="A29" s="5" t="s">
        <v>58</v>
      </c>
      <c r="B29" s="6">
        <v>18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22"/>
  <sheetViews>
    <sheetView workbookViewId="0">
      <selection activeCell="P16" sqref="P16"/>
    </sheetView>
  </sheetViews>
  <sheetFormatPr defaultRowHeight="15" x14ac:dyDescent="0.25"/>
  <cols>
    <col min="1" max="1" width="17.85546875" bestFit="1" customWidth="1"/>
    <col min="2" max="2" width="16.28515625" customWidth="1"/>
    <col min="3" max="3" width="7" customWidth="1"/>
    <col min="4" max="4" width="11.28515625" bestFit="1" customWidth="1"/>
  </cols>
  <sheetData>
    <row r="3" spans="1:4" x14ac:dyDescent="0.25">
      <c r="A3" s="4" t="s">
        <v>59</v>
      </c>
      <c r="B3" s="4" t="s">
        <v>68</v>
      </c>
    </row>
    <row r="4" spans="1:4" x14ac:dyDescent="0.25">
      <c r="A4" s="4" t="s">
        <v>57</v>
      </c>
      <c r="B4" t="s">
        <v>53</v>
      </c>
      <c r="C4" t="s">
        <v>54</v>
      </c>
      <c r="D4" t="s">
        <v>58</v>
      </c>
    </row>
    <row r="5" spans="1:4" x14ac:dyDescent="0.25">
      <c r="A5" s="5" t="s">
        <v>24</v>
      </c>
      <c r="B5" s="6">
        <v>34247</v>
      </c>
      <c r="C5" s="6"/>
      <c r="D5" s="6">
        <v>34247</v>
      </c>
    </row>
    <row r="6" spans="1:4" x14ac:dyDescent="0.25">
      <c r="A6" s="5" t="s">
        <v>30</v>
      </c>
      <c r="B6" s="6"/>
      <c r="C6" s="6">
        <v>60643</v>
      </c>
      <c r="D6" s="6">
        <v>60643</v>
      </c>
    </row>
    <row r="7" spans="1:4" x14ac:dyDescent="0.25">
      <c r="A7" s="5" t="s">
        <v>33</v>
      </c>
      <c r="B7" s="6">
        <v>44061</v>
      </c>
      <c r="C7" s="6"/>
      <c r="D7" s="6">
        <v>44061</v>
      </c>
    </row>
    <row r="8" spans="1:4" x14ac:dyDescent="0.25">
      <c r="A8" s="5" t="s">
        <v>29</v>
      </c>
      <c r="B8" s="6">
        <v>64316</v>
      </c>
      <c r="C8" s="6"/>
      <c r="D8" s="6">
        <v>64316</v>
      </c>
    </row>
    <row r="9" spans="1:4" x14ac:dyDescent="0.25">
      <c r="A9" s="5" t="s">
        <v>38</v>
      </c>
      <c r="B9" s="6"/>
      <c r="C9" s="6">
        <v>51557</v>
      </c>
      <c r="D9" s="6">
        <v>51557</v>
      </c>
    </row>
    <row r="10" spans="1:4" x14ac:dyDescent="0.25">
      <c r="A10" s="5" t="s">
        <v>37</v>
      </c>
      <c r="B10" s="6"/>
      <c r="C10" s="6">
        <v>26281</v>
      </c>
      <c r="D10" s="6">
        <v>26281</v>
      </c>
    </row>
    <row r="11" spans="1:4" x14ac:dyDescent="0.25">
      <c r="A11" s="5" t="s">
        <v>25</v>
      </c>
      <c r="B11" s="6"/>
      <c r="C11" s="6">
        <v>51425</v>
      </c>
      <c r="D11" s="6">
        <v>51425</v>
      </c>
    </row>
    <row r="12" spans="1:4" x14ac:dyDescent="0.25">
      <c r="A12" s="5" t="s">
        <v>28</v>
      </c>
      <c r="B12" s="6">
        <v>44054</v>
      </c>
      <c r="C12" s="6"/>
      <c r="D12" s="6">
        <v>44054</v>
      </c>
    </row>
    <row r="13" spans="1:4" x14ac:dyDescent="0.25">
      <c r="A13" s="5" t="s">
        <v>40</v>
      </c>
      <c r="B13" s="6">
        <v>50179</v>
      </c>
      <c r="C13" s="6"/>
      <c r="D13" s="6">
        <v>50179</v>
      </c>
    </row>
    <row r="14" spans="1:4" x14ac:dyDescent="0.25">
      <c r="A14" s="5" t="s">
        <v>39</v>
      </c>
      <c r="B14" s="6"/>
      <c r="C14" s="6">
        <v>51276</v>
      </c>
      <c r="D14" s="6">
        <v>51276</v>
      </c>
    </row>
    <row r="15" spans="1:4" x14ac:dyDescent="0.25">
      <c r="A15" s="5" t="s">
        <v>35</v>
      </c>
      <c r="B15" s="6"/>
      <c r="C15" s="6">
        <v>25613</v>
      </c>
      <c r="D15" s="6">
        <v>25613</v>
      </c>
    </row>
    <row r="16" spans="1:4" x14ac:dyDescent="0.25">
      <c r="A16" s="5" t="s">
        <v>34</v>
      </c>
      <c r="B16" s="6">
        <v>31111</v>
      </c>
      <c r="C16" s="6"/>
      <c r="D16" s="6">
        <v>31111</v>
      </c>
    </row>
    <row r="17" spans="1:4" x14ac:dyDescent="0.25">
      <c r="A17" s="5" t="s">
        <v>36</v>
      </c>
      <c r="B17" s="6"/>
      <c r="C17" s="6">
        <v>37970</v>
      </c>
      <c r="D17" s="6">
        <v>37970</v>
      </c>
    </row>
    <row r="18" spans="1:4" x14ac:dyDescent="0.25">
      <c r="A18" s="5" t="s">
        <v>32</v>
      </c>
      <c r="B18" s="6">
        <v>51957</v>
      </c>
      <c r="C18" s="6"/>
      <c r="D18" s="6">
        <v>51957</v>
      </c>
    </row>
    <row r="19" spans="1:4" x14ac:dyDescent="0.25">
      <c r="A19" s="5" t="s">
        <v>27</v>
      </c>
      <c r="B19" s="6"/>
      <c r="C19" s="6">
        <v>85781</v>
      </c>
      <c r="D19" s="6">
        <v>85781</v>
      </c>
    </row>
    <row r="20" spans="1:4" x14ac:dyDescent="0.25">
      <c r="A20" s="5" t="s">
        <v>31</v>
      </c>
      <c r="B20" s="6">
        <v>24913</v>
      </c>
      <c r="C20" s="6"/>
      <c r="D20" s="6">
        <v>24913</v>
      </c>
    </row>
    <row r="21" spans="1:4" x14ac:dyDescent="0.25">
      <c r="A21" s="5" t="s">
        <v>26</v>
      </c>
      <c r="B21" s="6"/>
      <c r="C21" s="6">
        <v>50194</v>
      </c>
      <c r="D21" s="6">
        <v>50194</v>
      </c>
    </row>
    <row r="22" spans="1:4" x14ac:dyDescent="0.25">
      <c r="A22" s="5" t="s">
        <v>58</v>
      </c>
      <c r="B22" s="6">
        <v>344838</v>
      </c>
      <c r="C22" s="6">
        <v>440740</v>
      </c>
      <c r="D22" s="6">
        <v>785578</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 performace sheet</vt:lpstr>
      <vt:lpstr>employee salary report</vt:lpstr>
      <vt:lpstr>performancewise</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2025-12-15T08:42:44Z</dcterms:created>
  <dcterms:modified xsi:type="dcterms:W3CDTF">2025-12-15T10:07:26Z</dcterms:modified>
</cp:coreProperties>
</file>