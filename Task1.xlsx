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asks Dataanalyst course\"/>
    </mc:Choice>
  </mc:AlternateContent>
  <bookViews>
    <workbookView xWindow="0" yWindow="0" windowWidth="1132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I6" i="1"/>
  <c r="G4" i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<sst xmlns="http://schemas.openxmlformats.org/spreadsheetml/2006/main" count="29" uniqueCount="28">
  <si>
    <t>sno</t>
  </si>
  <si>
    <t>candidate Name</t>
  </si>
  <si>
    <t>Age</t>
  </si>
  <si>
    <t>Degree</t>
  </si>
  <si>
    <t>experience</t>
  </si>
  <si>
    <t>passing year</t>
  </si>
  <si>
    <t>remarks</t>
  </si>
  <si>
    <t>Abinaya</t>
  </si>
  <si>
    <t>Bca</t>
  </si>
  <si>
    <t>Ragul</t>
  </si>
  <si>
    <t>Bsc Cs</t>
  </si>
  <si>
    <t>Dharshini</t>
  </si>
  <si>
    <t>Bcom</t>
  </si>
  <si>
    <t>Bala</t>
  </si>
  <si>
    <t>Bba</t>
  </si>
  <si>
    <t>Harini</t>
  </si>
  <si>
    <t>guna</t>
  </si>
  <si>
    <t>Mcom</t>
  </si>
  <si>
    <t>shilpa</t>
  </si>
  <si>
    <t>Ravanan</t>
  </si>
  <si>
    <t>BcomCa</t>
  </si>
  <si>
    <t>Viyana</t>
  </si>
  <si>
    <t>M.tech</t>
  </si>
  <si>
    <t>paru</t>
  </si>
  <si>
    <t>MBA</t>
  </si>
  <si>
    <t>MCA</t>
  </si>
  <si>
    <t>No of Accepted</t>
  </si>
  <si>
    <t>No of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</si>
</sst>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Sheet1!$I$5:$J$5</c:f>
              <c:strCache>
                <c:ptCount val="2"/>
                <c:pt idx="0">
                  <c:v>No of Accepted</c:v>
                </c:pt>
                <c:pt idx="1">
                  <c:v>No of Rejected</c:v>
                </c:pt>
              </c:strCache>
            </c:strRef>
          </c:cat>
          <c:val>
            <c:numRef>
              <c:f>Sheet1!$I$6:$J$6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0-4480-BFB0-F9DB73D28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7</xdr:row>
      <xdr:rowOff>9525</xdr:rowOff>
    </xdr:from>
    <xdr:to>
      <xdr:col>10</xdr:col>
      <xdr:colOff>28576</xdr:colOff>
      <xdr:row>16</xdr:row>
      <xdr:rowOff>28576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"/>
  <sheetViews>
    <sheetView tabSelected="1" workbookViewId="0">
      <selection activeCell="M7" sqref="M7"/>
    </sheetView>
  </sheetViews>
  <sheetFormatPr defaultRowHeight="15" x14ac:dyDescent="0.25"/>
  <cols>
    <col min="2" max="2" width="15.5703125" bestFit="1" customWidth="1"/>
    <col min="5" max="5" width="11" bestFit="1" customWidth="1"/>
    <col min="6" max="6" width="11.85546875" bestFit="1" customWidth="1"/>
    <col min="9" max="9" width="17" customWidth="1"/>
    <col min="10" max="10" width="17.42578125" customWidth="1"/>
  </cols>
  <sheetData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10" x14ac:dyDescent="0.25">
      <c r="A3">
        <v>1</v>
      </c>
      <c r="B3" t="s">
        <v>7</v>
      </c>
      <c r="C3">
        <v>21</v>
      </c>
      <c r="D3" t="s">
        <v>8</v>
      </c>
      <c r="E3">
        <v>2</v>
      </c>
      <c r="F3">
        <v>2025</v>
      </c>
      <c r="G3" t="str">
        <f>IF(AND(C2&gt;=20, C2&lt;=26, OR(D2="BSC",D2="BCA",D2="MCA"), E2&gt;=1, E2&lt;=5, OR(F2=2024, F2=2025)), "Accepted", "Rejected")</f>
        <v>Rejected</v>
      </c>
    </row>
    <row r="4" spans="1:10" x14ac:dyDescent="0.25">
      <c r="A4">
        <v>2</v>
      </c>
      <c r="B4" t="s">
        <v>9</v>
      </c>
      <c r="C4">
        <v>22</v>
      </c>
      <c r="D4" t="s">
        <v>10</v>
      </c>
      <c r="E4">
        <v>1</v>
      </c>
      <c r="F4">
        <v>2024</v>
      </c>
      <c r="G4" t="str">
        <f t="shared" ref="G4:G12" si="0">IF(AND(C3&gt;=20, C3&lt;=26, OR(D3="BSC",D3="BCA",D3="MCA"), E3&gt;=1, E3&lt;=5, OR(F3=2024, F3=2025)), "Accepted", "Rejected")</f>
        <v>Accepted</v>
      </c>
    </row>
    <row r="5" spans="1:10" x14ac:dyDescent="0.25">
      <c r="A5">
        <v>3</v>
      </c>
      <c r="B5" t="s">
        <v>11</v>
      </c>
      <c r="C5">
        <v>24</v>
      </c>
      <c r="D5" t="s">
        <v>12</v>
      </c>
      <c r="E5">
        <v>3</v>
      </c>
      <c r="F5">
        <v>2022</v>
      </c>
      <c r="G5" t="str">
        <f t="shared" si="0"/>
        <v>Rejected</v>
      </c>
      <c r="I5" s="1" t="s">
        <v>26</v>
      </c>
      <c r="J5" s="1" t="s">
        <v>27</v>
      </c>
    </row>
    <row r="6" spans="1:10" x14ac:dyDescent="0.25">
      <c r="A6">
        <v>4</v>
      </c>
      <c r="B6" t="s">
        <v>13</v>
      </c>
      <c r="C6">
        <v>22</v>
      </c>
      <c r="D6" t="s">
        <v>14</v>
      </c>
      <c r="E6">
        <v>2</v>
      </c>
      <c r="F6">
        <v>2023</v>
      </c>
      <c r="G6" t="str">
        <f t="shared" si="0"/>
        <v>Rejected</v>
      </c>
      <c r="I6">
        <f>COUNTIF(G:G,"Accepted")</f>
        <v>2</v>
      </c>
      <c r="J6">
        <f>COUNTIF(G:G,"Rejected")</f>
        <v>8</v>
      </c>
    </row>
    <row r="7" spans="1:10" x14ac:dyDescent="0.25">
      <c r="A7">
        <v>5</v>
      </c>
      <c r="B7" t="s">
        <v>15</v>
      </c>
      <c r="C7">
        <v>25</v>
      </c>
      <c r="D7" t="s">
        <v>14</v>
      </c>
      <c r="E7">
        <v>3</v>
      </c>
      <c r="F7">
        <v>2022</v>
      </c>
      <c r="G7" t="str">
        <f t="shared" si="0"/>
        <v>Rejected</v>
      </c>
    </row>
    <row r="8" spans="1:10" x14ac:dyDescent="0.25">
      <c r="A8">
        <v>6</v>
      </c>
      <c r="B8" t="s">
        <v>16</v>
      </c>
      <c r="C8">
        <v>22</v>
      </c>
      <c r="D8" t="s">
        <v>17</v>
      </c>
      <c r="E8">
        <v>2</v>
      </c>
      <c r="F8">
        <v>2025</v>
      </c>
      <c r="G8" t="str">
        <f t="shared" si="0"/>
        <v>Rejected</v>
      </c>
    </row>
    <row r="9" spans="1:10" x14ac:dyDescent="0.25">
      <c r="A9">
        <v>7</v>
      </c>
      <c r="B9" t="s">
        <v>18</v>
      </c>
      <c r="C9">
        <v>21</v>
      </c>
      <c r="D9" t="s">
        <v>25</v>
      </c>
      <c r="E9">
        <v>2</v>
      </c>
      <c r="F9">
        <v>2025</v>
      </c>
      <c r="G9" t="str">
        <f t="shared" si="0"/>
        <v>Rejected</v>
      </c>
    </row>
    <row r="10" spans="1:10" x14ac:dyDescent="0.25">
      <c r="A10">
        <v>8</v>
      </c>
      <c r="B10" t="s">
        <v>19</v>
      </c>
      <c r="C10">
        <v>25</v>
      </c>
      <c r="D10" t="s">
        <v>20</v>
      </c>
      <c r="E10">
        <v>5</v>
      </c>
      <c r="F10">
        <v>2020</v>
      </c>
      <c r="G10" t="str">
        <f t="shared" si="0"/>
        <v>Accepted</v>
      </c>
    </row>
    <row r="11" spans="1:10" x14ac:dyDescent="0.25">
      <c r="A11">
        <v>9</v>
      </c>
      <c r="B11" t="s">
        <v>21</v>
      </c>
      <c r="C11">
        <v>40</v>
      </c>
      <c r="D11" t="s">
        <v>22</v>
      </c>
      <c r="E11">
        <v>10</v>
      </c>
      <c r="F11">
        <v>2015</v>
      </c>
      <c r="G11" t="str">
        <f t="shared" si="0"/>
        <v>Rejected</v>
      </c>
    </row>
    <row r="12" spans="1:10" x14ac:dyDescent="0.25">
      <c r="A12">
        <v>10</v>
      </c>
      <c r="B12" t="s">
        <v>23</v>
      </c>
      <c r="C12">
        <v>35</v>
      </c>
      <c r="D12" t="s">
        <v>24</v>
      </c>
      <c r="E12">
        <v>5</v>
      </c>
      <c r="F12">
        <v>2020</v>
      </c>
      <c r="G12" t="str">
        <f t="shared" si="0"/>
        <v>Rejected</v>
      </c>
    </row>
  </sheetData>
  <conditionalFormatting sqref="G3:G12">
    <cfRule type="cellIs" dxfId="3" priority="4" operator="equal">
      <formula>"Accepted"</formula>
    </cfRule>
    <cfRule type="cellIs" dxfId="2" priority="2" operator="equal">
      <formula>"Accepted"</formula>
    </cfRule>
  </conditionalFormatting>
  <conditionalFormatting sqref="G3:G12">
    <cfRule type="cellIs" dxfId="4" priority="3" operator="notEqual">
      <formula>"Rejected"</formula>
    </cfRule>
  </conditionalFormatting>
  <conditionalFormatting sqref="G3:G12">
    <cfRule type="cellIs" dxfId="0" priority="1" operator="equal">
      <formula>"Rejected"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2025-12-09T14:48:30Z</dcterms:created>
  <dcterms:modified xsi:type="dcterms:W3CDTF">2025-12-09T15:55:32Z</dcterms:modified>
</cp:coreProperties>
</file>