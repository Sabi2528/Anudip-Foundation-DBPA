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asks Dataanalyst course\"/>
    </mc:Choice>
  </mc:AlternateContent>
  <bookViews>
    <workbookView xWindow="0" yWindow="0" windowWidth="20490" windowHeight="7620" activeTab="2"/>
  </bookViews>
  <sheets>
    <sheet name="index Function" sheetId="1" r:id="rId1"/>
    <sheet name="match function" sheetId="2" r:id="rId2"/>
    <sheet name="Index+matchfunc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" i="3" l="1"/>
  <c r="R4" i="3"/>
  <c r="S6" i="3" s="1"/>
  <c r="R6" i="3"/>
  <c r="N10" i="2"/>
  <c r="O7" i="1"/>
  <c r="O5" i="1"/>
  <c r="T4" i="3" l="1"/>
  <c r="T6" i="3"/>
</calcChain>
</file>

<file path=xl/sharedStrings.xml><?xml version="1.0" encoding="utf-8"?>
<sst xmlns="http://schemas.openxmlformats.org/spreadsheetml/2006/main" count="73" uniqueCount="29">
  <si>
    <t>Product Name</t>
  </si>
  <si>
    <t>1Kg</t>
  </si>
  <si>
    <t>2Kg</t>
  </si>
  <si>
    <t>3kg</t>
  </si>
  <si>
    <t>4 Kg</t>
  </si>
  <si>
    <t>5Kg</t>
  </si>
  <si>
    <t>Onion</t>
  </si>
  <si>
    <t>Apple</t>
  </si>
  <si>
    <t>Orange</t>
  </si>
  <si>
    <t>Tomato</t>
  </si>
  <si>
    <t>Chilli</t>
  </si>
  <si>
    <t>Potato</t>
  </si>
  <si>
    <t>Mangoes</t>
  </si>
  <si>
    <t>Grapes</t>
  </si>
  <si>
    <t>Pomegrante</t>
  </si>
  <si>
    <t>Pumbkin</t>
  </si>
  <si>
    <t>Brinjal</t>
  </si>
  <si>
    <t>Dhal</t>
  </si>
  <si>
    <t>Rice</t>
  </si>
  <si>
    <t>Wheat</t>
  </si>
  <si>
    <t>sno</t>
  </si>
  <si>
    <t>row</t>
  </si>
  <si>
    <t>Row + col</t>
  </si>
  <si>
    <t>Lookupvalue</t>
  </si>
  <si>
    <t>select Your product name</t>
  </si>
  <si>
    <t>Index Array Function</t>
  </si>
  <si>
    <t>Row no</t>
  </si>
  <si>
    <t>index Refrence function</t>
  </si>
  <si>
    <t>Select your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</si>
</sst>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/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0" fillId="3" borderId="0" xfId="0" applyFill="1" applyAlignment="1">
      <alignment horizontal="center"/>
    </xf>
    <xf numFmtId="0" fontId="0" fillId="6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P19"/>
  <sheetViews>
    <sheetView workbookViewId="0">
      <selection activeCell="O5" sqref="O5:P5"/>
    </sheetView>
  </sheetViews>
  <sheetFormatPr defaultRowHeight="15" x14ac:dyDescent="0.25"/>
  <cols>
    <col min="6" max="6" width="14.85546875" customWidth="1"/>
  </cols>
  <sheetData>
    <row r="4" spans="5:16" x14ac:dyDescent="0.25">
      <c r="E4" s="6" t="s">
        <v>20</v>
      </c>
      <c r="F4" s="7" t="s">
        <v>0</v>
      </c>
      <c r="G4" s="7" t="s">
        <v>1</v>
      </c>
      <c r="H4" s="7" t="s">
        <v>2</v>
      </c>
      <c r="I4" s="7" t="s">
        <v>3</v>
      </c>
      <c r="J4" s="7" t="s">
        <v>4</v>
      </c>
      <c r="K4" s="7" t="s">
        <v>5</v>
      </c>
    </row>
    <row r="5" spans="5:16" x14ac:dyDescent="0.25">
      <c r="E5" s="8">
        <v>1</v>
      </c>
      <c r="F5" s="9" t="s">
        <v>6</v>
      </c>
      <c r="G5" s="10">
        <v>289</v>
      </c>
      <c r="H5" s="10">
        <v>401</v>
      </c>
      <c r="I5" s="10">
        <v>432</v>
      </c>
      <c r="J5" s="10">
        <v>102</v>
      </c>
      <c r="K5" s="10">
        <v>450</v>
      </c>
      <c r="N5" s="3" t="s">
        <v>21</v>
      </c>
      <c r="O5" s="5">
        <f>INDEX(K5:K18,4,1)</f>
        <v>96</v>
      </c>
      <c r="P5" s="5"/>
    </row>
    <row r="6" spans="5:16" x14ac:dyDescent="0.25">
      <c r="E6" s="8">
        <v>2</v>
      </c>
      <c r="F6" s="9" t="s">
        <v>7</v>
      </c>
      <c r="G6" s="10">
        <v>335</v>
      </c>
      <c r="H6" s="10">
        <v>272</v>
      </c>
      <c r="I6" s="10">
        <v>133</v>
      </c>
      <c r="J6" s="10">
        <v>153</v>
      </c>
      <c r="K6" s="10">
        <v>288</v>
      </c>
      <c r="N6" s="4"/>
      <c r="O6" s="4"/>
      <c r="P6" s="4"/>
    </row>
    <row r="7" spans="5:16" x14ac:dyDescent="0.25">
      <c r="E7" s="8">
        <v>3</v>
      </c>
      <c r="F7" s="9" t="s">
        <v>8</v>
      </c>
      <c r="G7" s="10">
        <v>255</v>
      </c>
      <c r="H7" s="10">
        <v>115</v>
      </c>
      <c r="I7" s="10">
        <v>276</v>
      </c>
      <c r="J7" s="10">
        <v>373</v>
      </c>
      <c r="K7" s="10">
        <v>350</v>
      </c>
      <c r="N7" s="3" t="s">
        <v>22</v>
      </c>
      <c r="O7" s="5">
        <f>INDEX(G5:K18,4,4)</f>
        <v>124</v>
      </c>
      <c r="P7" s="5"/>
    </row>
    <row r="8" spans="5:16" x14ac:dyDescent="0.25">
      <c r="E8" s="8">
        <v>4</v>
      </c>
      <c r="F8" s="9" t="s">
        <v>9</v>
      </c>
      <c r="G8" s="10">
        <v>439</v>
      </c>
      <c r="H8" s="10">
        <v>82</v>
      </c>
      <c r="I8" s="10">
        <v>304</v>
      </c>
      <c r="J8" s="10">
        <v>124</v>
      </c>
      <c r="K8" s="10">
        <v>96</v>
      </c>
      <c r="N8" s="4"/>
      <c r="O8" s="4"/>
      <c r="P8" s="4"/>
    </row>
    <row r="9" spans="5:16" x14ac:dyDescent="0.25">
      <c r="E9" s="8">
        <v>5</v>
      </c>
      <c r="F9" s="9" t="s">
        <v>10</v>
      </c>
      <c r="G9" s="10">
        <v>115</v>
      </c>
      <c r="H9" s="10">
        <v>141</v>
      </c>
      <c r="I9" s="10">
        <v>344</v>
      </c>
      <c r="J9" s="10">
        <v>239</v>
      </c>
      <c r="K9" s="10">
        <v>380</v>
      </c>
    </row>
    <row r="10" spans="5:16" x14ac:dyDescent="0.25">
      <c r="E10" s="8">
        <v>6</v>
      </c>
      <c r="F10" s="9" t="s">
        <v>11</v>
      </c>
      <c r="G10" s="10">
        <v>286</v>
      </c>
      <c r="H10" s="10">
        <v>416</v>
      </c>
      <c r="I10" s="10">
        <v>363</v>
      </c>
      <c r="J10" s="10">
        <v>96</v>
      </c>
      <c r="K10" s="10">
        <v>259</v>
      </c>
    </row>
    <row r="11" spans="5:16" x14ac:dyDescent="0.25">
      <c r="E11" s="8">
        <v>7</v>
      </c>
      <c r="F11" s="9" t="s">
        <v>12</v>
      </c>
      <c r="G11" s="10">
        <v>332</v>
      </c>
      <c r="H11" s="10">
        <v>164</v>
      </c>
      <c r="I11" s="10">
        <v>433</v>
      </c>
      <c r="J11" s="10">
        <v>144</v>
      </c>
      <c r="K11" s="10">
        <v>367</v>
      </c>
    </row>
    <row r="12" spans="5:16" x14ac:dyDescent="0.25">
      <c r="E12" s="8">
        <v>8</v>
      </c>
      <c r="F12" s="9" t="s">
        <v>13</v>
      </c>
      <c r="G12" s="10">
        <v>358</v>
      </c>
      <c r="H12" s="10">
        <v>418</v>
      </c>
      <c r="I12" s="10">
        <v>209</v>
      </c>
      <c r="J12" s="10">
        <v>129</v>
      </c>
      <c r="K12" s="10">
        <v>186</v>
      </c>
    </row>
    <row r="13" spans="5:16" x14ac:dyDescent="0.25">
      <c r="E13" s="8">
        <v>9</v>
      </c>
      <c r="F13" s="9" t="s">
        <v>14</v>
      </c>
      <c r="G13" s="10">
        <v>291</v>
      </c>
      <c r="H13" s="10">
        <v>216</v>
      </c>
      <c r="I13" s="10">
        <v>289</v>
      </c>
      <c r="J13" s="10">
        <v>304</v>
      </c>
      <c r="K13" s="10">
        <v>167</v>
      </c>
    </row>
    <row r="14" spans="5:16" x14ac:dyDescent="0.25">
      <c r="E14" s="8">
        <v>10</v>
      </c>
      <c r="F14" s="9" t="s">
        <v>15</v>
      </c>
      <c r="G14" s="10">
        <v>274</v>
      </c>
      <c r="H14" s="10">
        <v>434</v>
      </c>
      <c r="I14" s="10">
        <v>189</v>
      </c>
      <c r="J14" s="10">
        <v>371</v>
      </c>
      <c r="K14" s="10">
        <v>359</v>
      </c>
    </row>
    <row r="15" spans="5:16" x14ac:dyDescent="0.25">
      <c r="E15" s="8">
        <v>11</v>
      </c>
      <c r="F15" s="9" t="s">
        <v>16</v>
      </c>
      <c r="G15" s="10">
        <v>80</v>
      </c>
      <c r="H15" s="10">
        <v>173</v>
      </c>
      <c r="I15" s="10">
        <v>381</v>
      </c>
      <c r="J15" s="10">
        <v>425</v>
      </c>
      <c r="K15" s="10">
        <v>418</v>
      </c>
    </row>
    <row r="16" spans="5:16" x14ac:dyDescent="0.25">
      <c r="E16" s="8">
        <v>12</v>
      </c>
      <c r="F16" s="9" t="s">
        <v>17</v>
      </c>
      <c r="G16" s="10">
        <v>432</v>
      </c>
      <c r="H16" s="10">
        <v>262</v>
      </c>
      <c r="I16" s="10">
        <v>423</v>
      </c>
      <c r="J16" s="10">
        <v>434</v>
      </c>
      <c r="K16" s="10">
        <v>153</v>
      </c>
    </row>
    <row r="17" spans="5:11" x14ac:dyDescent="0.25">
      <c r="E17" s="8">
        <v>13</v>
      </c>
      <c r="F17" s="9" t="s">
        <v>18</v>
      </c>
      <c r="G17" s="10">
        <v>161</v>
      </c>
      <c r="H17" s="10">
        <v>293</v>
      </c>
      <c r="I17" s="10">
        <v>341</v>
      </c>
      <c r="J17" s="10">
        <v>166</v>
      </c>
      <c r="K17" s="10">
        <v>127</v>
      </c>
    </row>
    <row r="18" spans="5:11" x14ac:dyDescent="0.25">
      <c r="E18" s="8">
        <v>14</v>
      </c>
      <c r="F18" s="9" t="s">
        <v>19</v>
      </c>
      <c r="G18" s="10">
        <v>135</v>
      </c>
      <c r="H18" s="10">
        <v>411</v>
      </c>
      <c r="I18" s="10">
        <v>147</v>
      </c>
      <c r="J18" s="10">
        <v>256</v>
      </c>
      <c r="K18" s="10">
        <v>91</v>
      </c>
    </row>
    <row r="19" spans="5:11" x14ac:dyDescent="0.25">
      <c r="E19" s="2"/>
    </row>
  </sheetData>
  <mergeCells count="2">
    <mergeCell ref="O5:P5"/>
    <mergeCell ref="O7:P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O20"/>
  <sheetViews>
    <sheetView workbookViewId="0">
      <selection activeCell="D5" sqref="D5:J19"/>
    </sheetView>
  </sheetViews>
  <sheetFormatPr defaultRowHeight="15" x14ac:dyDescent="0.25"/>
  <cols>
    <col min="5" max="5" width="16.140625" customWidth="1"/>
  </cols>
  <sheetData>
    <row r="5" spans="4:15" x14ac:dyDescent="0.25">
      <c r="D5" s="13" t="s">
        <v>20</v>
      </c>
      <c r="E5" s="14" t="s">
        <v>0</v>
      </c>
      <c r="F5" s="14" t="s">
        <v>1</v>
      </c>
      <c r="G5" s="14" t="s">
        <v>2</v>
      </c>
      <c r="H5" s="14" t="s">
        <v>3</v>
      </c>
      <c r="I5" s="14" t="s">
        <v>4</v>
      </c>
      <c r="J5" s="14" t="s">
        <v>5</v>
      </c>
    </row>
    <row r="6" spans="4:15" x14ac:dyDescent="0.25">
      <c r="D6" s="16">
        <v>1</v>
      </c>
      <c r="E6" s="17" t="s">
        <v>6</v>
      </c>
      <c r="F6" s="1">
        <v>289</v>
      </c>
      <c r="G6" s="1">
        <v>401</v>
      </c>
      <c r="H6" s="1">
        <v>432</v>
      </c>
      <c r="I6" s="1">
        <v>102</v>
      </c>
      <c r="J6" s="1">
        <v>450</v>
      </c>
    </row>
    <row r="7" spans="4:15" x14ac:dyDescent="0.25">
      <c r="D7" s="16">
        <v>2</v>
      </c>
      <c r="E7" s="17" t="s">
        <v>7</v>
      </c>
      <c r="F7" s="1">
        <v>335</v>
      </c>
      <c r="G7" s="1">
        <v>272</v>
      </c>
      <c r="H7" s="1">
        <v>133</v>
      </c>
      <c r="I7" s="1">
        <v>153</v>
      </c>
      <c r="J7" s="1">
        <v>288</v>
      </c>
    </row>
    <row r="8" spans="4:15" x14ac:dyDescent="0.25">
      <c r="D8" s="16">
        <v>3</v>
      </c>
      <c r="E8" s="17" t="s">
        <v>8</v>
      </c>
      <c r="F8" s="1">
        <v>255</v>
      </c>
      <c r="G8" s="1">
        <v>115</v>
      </c>
      <c r="H8" s="1">
        <v>276</v>
      </c>
      <c r="I8" s="1">
        <v>373</v>
      </c>
      <c r="J8" s="1">
        <v>350</v>
      </c>
    </row>
    <row r="9" spans="4:15" x14ac:dyDescent="0.25">
      <c r="D9" s="16">
        <v>4</v>
      </c>
      <c r="E9" s="17" t="s">
        <v>9</v>
      </c>
      <c r="F9" s="1">
        <v>439</v>
      </c>
      <c r="G9" s="1">
        <v>82</v>
      </c>
      <c r="H9" s="1">
        <v>304</v>
      </c>
      <c r="I9" s="1">
        <v>124</v>
      </c>
      <c r="J9" s="1">
        <v>96</v>
      </c>
    </row>
    <row r="10" spans="4:15" x14ac:dyDescent="0.25">
      <c r="D10" s="16">
        <v>5</v>
      </c>
      <c r="E10" s="17" t="s">
        <v>10</v>
      </c>
      <c r="F10" s="1">
        <v>115</v>
      </c>
      <c r="G10" s="1">
        <v>141</v>
      </c>
      <c r="H10" s="1">
        <v>344</v>
      </c>
      <c r="I10" s="1">
        <v>239</v>
      </c>
      <c r="J10" s="1">
        <v>380</v>
      </c>
      <c r="L10" s="11" t="s">
        <v>23</v>
      </c>
      <c r="M10" s="11"/>
      <c r="N10" s="12">
        <f>MATCH(E10,E6:E19,)</f>
        <v>5</v>
      </c>
      <c r="O10" s="12"/>
    </row>
    <row r="11" spans="4:15" x14ac:dyDescent="0.25">
      <c r="D11" s="16">
        <v>6</v>
      </c>
      <c r="E11" s="17" t="s">
        <v>11</v>
      </c>
      <c r="F11" s="1">
        <v>286</v>
      </c>
      <c r="G11" s="1">
        <v>416</v>
      </c>
      <c r="H11" s="1">
        <v>363</v>
      </c>
      <c r="I11" s="1">
        <v>96</v>
      </c>
      <c r="J11" s="1">
        <v>259</v>
      </c>
    </row>
    <row r="12" spans="4:15" x14ac:dyDescent="0.25">
      <c r="D12" s="16">
        <v>7</v>
      </c>
      <c r="E12" s="17" t="s">
        <v>12</v>
      </c>
      <c r="F12" s="1">
        <v>332</v>
      </c>
      <c r="G12" s="1">
        <v>164</v>
      </c>
      <c r="H12" s="1">
        <v>433</v>
      </c>
      <c r="I12" s="1">
        <v>144</v>
      </c>
      <c r="J12" s="1">
        <v>367</v>
      </c>
    </row>
    <row r="13" spans="4:15" x14ac:dyDescent="0.25">
      <c r="D13" s="16">
        <v>8</v>
      </c>
      <c r="E13" s="17" t="s">
        <v>13</v>
      </c>
      <c r="F13" s="1">
        <v>358</v>
      </c>
      <c r="G13" s="1">
        <v>418</v>
      </c>
      <c r="H13" s="1">
        <v>209</v>
      </c>
      <c r="I13" s="1">
        <v>129</v>
      </c>
      <c r="J13" s="1">
        <v>186</v>
      </c>
    </row>
    <row r="14" spans="4:15" x14ac:dyDescent="0.25">
      <c r="D14" s="16">
        <v>9</v>
      </c>
      <c r="E14" s="17" t="s">
        <v>14</v>
      </c>
      <c r="F14" s="1">
        <v>291</v>
      </c>
      <c r="G14" s="1">
        <v>216</v>
      </c>
      <c r="H14" s="1">
        <v>289</v>
      </c>
      <c r="I14" s="1">
        <v>304</v>
      </c>
      <c r="J14" s="1">
        <v>167</v>
      </c>
    </row>
    <row r="15" spans="4:15" x14ac:dyDescent="0.25">
      <c r="D15" s="16">
        <v>10</v>
      </c>
      <c r="E15" s="17" t="s">
        <v>15</v>
      </c>
      <c r="F15" s="1">
        <v>274</v>
      </c>
      <c r="G15" s="1">
        <v>434</v>
      </c>
      <c r="H15" s="1">
        <v>189</v>
      </c>
      <c r="I15" s="1">
        <v>371</v>
      </c>
      <c r="J15" s="1">
        <v>359</v>
      </c>
    </row>
    <row r="16" spans="4:15" x14ac:dyDescent="0.25">
      <c r="D16" s="16">
        <v>11</v>
      </c>
      <c r="E16" s="17" t="s">
        <v>16</v>
      </c>
      <c r="F16" s="1">
        <v>80</v>
      </c>
      <c r="G16" s="1">
        <v>173</v>
      </c>
      <c r="H16" s="1">
        <v>381</v>
      </c>
      <c r="I16" s="1">
        <v>425</v>
      </c>
      <c r="J16" s="1">
        <v>418</v>
      </c>
    </row>
    <row r="17" spans="4:10" x14ac:dyDescent="0.25">
      <c r="D17" s="16">
        <v>12</v>
      </c>
      <c r="E17" s="17" t="s">
        <v>17</v>
      </c>
      <c r="F17" s="1">
        <v>432</v>
      </c>
      <c r="G17" s="1">
        <v>262</v>
      </c>
      <c r="H17" s="1">
        <v>423</v>
      </c>
      <c r="I17" s="1">
        <v>434</v>
      </c>
      <c r="J17" s="1">
        <v>153</v>
      </c>
    </row>
    <row r="18" spans="4:10" x14ac:dyDescent="0.25">
      <c r="D18" s="16">
        <v>13</v>
      </c>
      <c r="E18" s="17" t="s">
        <v>18</v>
      </c>
      <c r="F18" s="1">
        <v>161</v>
      </c>
      <c r="G18" s="1">
        <v>293</v>
      </c>
      <c r="H18" s="1">
        <v>341</v>
      </c>
      <c r="I18" s="1">
        <v>166</v>
      </c>
      <c r="J18" s="1">
        <v>127</v>
      </c>
    </row>
    <row r="19" spans="4:10" x14ac:dyDescent="0.25">
      <c r="D19" s="16">
        <v>14</v>
      </c>
      <c r="E19" s="17" t="s">
        <v>19</v>
      </c>
      <c r="F19" s="1">
        <v>135</v>
      </c>
      <c r="G19" s="1">
        <v>411</v>
      </c>
      <c r="H19" s="1">
        <v>147</v>
      </c>
      <c r="I19" s="1">
        <v>256</v>
      </c>
      <c r="J19" s="1">
        <v>91</v>
      </c>
    </row>
    <row r="20" spans="4:10" x14ac:dyDescent="0.25">
      <c r="D20" s="2"/>
    </row>
  </sheetData>
  <mergeCells count="2">
    <mergeCell ref="L10:M10"/>
    <mergeCell ref="N10:O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T20"/>
  <sheetViews>
    <sheetView tabSelected="1" topLeftCell="G1" workbookViewId="0">
      <selection activeCell="S9" sqref="S9"/>
    </sheetView>
  </sheetViews>
  <sheetFormatPr defaultRowHeight="15" x14ac:dyDescent="0.25"/>
  <cols>
    <col min="16" max="16" width="24.28515625" customWidth="1"/>
    <col min="17" max="17" width="14.140625" customWidth="1"/>
    <col min="18" max="18" width="14" customWidth="1"/>
    <col min="19" max="19" width="21.5703125" customWidth="1"/>
    <col min="20" max="20" width="22.85546875" customWidth="1"/>
  </cols>
  <sheetData>
    <row r="2" spans="7:20" x14ac:dyDescent="0.25">
      <c r="R2" s="20" t="s">
        <v>26</v>
      </c>
      <c r="S2" s="20" t="s">
        <v>25</v>
      </c>
      <c r="T2" s="20" t="s">
        <v>27</v>
      </c>
    </row>
    <row r="4" spans="7:20" x14ac:dyDescent="0.25">
      <c r="P4" s="14" t="s">
        <v>24</v>
      </c>
      <c r="Q4" s="18" t="s">
        <v>19</v>
      </c>
      <c r="R4" s="19">
        <f>MATCH(Q4,H7:H20,0)</f>
        <v>14</v>
      </c>
      <c r="S4" s="15">
        <f>INDEX(M7:M20,MATCH(Q4,H7:H20,0))</f>
        <v>91</v>
      </c>
      <c r="T4" s="19">
        <f>INDEX(L7:L20,R4)</f>
        <v>256</v>
      </c>
    </row>
    <row r="6" spans="7:20" x14ac:dyDescent="0.25">
      <c r="G6" s="13" t="s">
        <v>20</v>
      </c>
      <c r="H6" s="14" t="s">
        <v>0</v>
      </c>
      <c r="I6" s="14" t="s">
        <v>1</v>
      </c>
      <c r="J6" s="14" t="s">
        <v>2</v>
      </c>
      <c r="K6" s="14" t="s">
        <v>3</v>
      </c>
      <c r="L6" s="14" t="s">
        <v>4</v>
      </c>
      <c r="M6" s="14" t="s">
        <v>5</v>
      </c>
      <c r="N6" s="13"/>
      <c r="P6" s="14" t="s">
        <v>28</v>
      </c>
      <c r="Q6" s="15" t="s">
        <v>4</v>
      </c>
      <c r="R6" s="19">
        <f>MATCH(Q6,I6:M6,0)</f>
        <v>4</v>
      </c>
      <c r="S6" s="15">
        <f>INDEX(L7:L20,R4)</f>
        <v>256</v>
      </c>
      <c r="T6" s="19">
        <f>INDEX(D7:H20, R4, R6)</f>
        <v>14</v>
      </c>
    </row>
    <row r="7" spans="7:20" x14ac:dyDescent="0.25">
      <c r="G7" s="16">
        <v>1</v>
      </c>
      <c r="H7" s="17" t="s">
        <v>6</v>
      </c>
      <c r="I7" s="1">
        <v>289</v>
      </c>
      <c r="J7" s="1">
        <v>401</v>
      </c>
      <c r="K7" s="1">
        <v>432</v>
      </c>
      <c r="L7" s="1">
        <v>102</v>
      </c>
      <c r="M7" s="1">
        <v>450</v>
      </c>
      <c r="N7" s="16"/>
    </row>
    <row r="8" spans="7:20" x14ac:dyDescent="0.25">
      <c r="G8" s="16">
        <v>2</v>
      </c>
      <c r="H8" s="17" t="s">
        <v>7</v>
      </c>
      <c r="I8" s="1">
        <v>335</v>
      </c>
      <c r="J8" s="1">
        <v>272</v>
      </c>
      <c r="K8" s="1">
        <v>133</v>
      </c>
      <c r="L8" s="1">
        <v>153</v>
      </c>
      <c r="M8" s="1">
        <v>288</v>
      </c>
      <c r="N8" s="16"/>
    </row>
    <row r="9" spans="7:20" x14ac:dyDescent="0.25">
      <c r="G9" s="16">
        <v>3</v>
      </c>
      <c r="H9" s="17" t="s">
        <v>8</v>
      </c>
      <c r="I9" s="1">
        <v>255</v>
      </c>
      <c r="J9" s="1">
        <v>115</v>
      </c>
      <c r="K9" s="1">
        <v>276</v>
      </c>
      <c r="L9" s="1">
        <v>373</v>
      </c>
      <c r="M9" s="1">
        <v>350</v>
      </c>
      <c r="N9" s="16"/>
    </row>
    <row r="10" spans="7:20" x14ac:dyDescent="0.25">
      <c r="G10" s="16">
        <v>4</v>
      </c>
      <c r="H10" s="17" t="s">
        <v>9</v>
      </c>
      <c r="I10" s="1">
        <v>439</v>
      </c>
      <c r="J10" s="1">
        <v>82</v>
      </c>
      <c r="K10" s="1">
        <v>304</v>
      </c>
      <c r="L10" s="1">
        <v>124</v>
      </c>
      <c r="M10" s="1">
        <v>96</v>
      </c>
      <c r="N10" s="16"/>
    </row>
    <row r="11" spans="7:20" x14ac:dyDescent="0.25">
      <c r="G11" s="16">
        <v>5</v>
      </c>
      <c r="H11" s="17" t="s">
        <v>10</v>
      </c>
      <c r="I11" s="1">
        <v>115</v>
      </c>
      <c r="J11" s="1">
        <v>141</v>
      </c>
      <c r="K11" s="1">
        <v>344</v>
      </c>
      <c r="L11" s="1">
        <v>239</v>
      </c>
      <c r="M11" s="1">
        <v>380</v>
      </c>
      <c r="N11" s="16"/>
    </row>
    <row r="12" spans="7:20" x14ac:dyDescent="0.25">
      <c r="G12" s="16">
        <v>6</v>
      </c>
      <c r="H12" s="17" t="s">
        <v>11</v>
      </c>
      <c r="I12" s="1">
        <v>286</v>
      </c>
      <c r="J12" s="1">
        <v>416</v>
      </c>
      <c r="K12" s="1">
        <v>363</v>
      </c>
      <c r="L12" s="1">
        <v>96</v>
      </c>
      <c r="M12" s="1">
        <v>259</v>
      </c>
      <c r="N12" s="16"/>
    </row>
    <row r="13" spans="7:20" x14ac:dyDescent="0.25">
      <c r="G13" s="16">
        <v>7</v>
      </c>
      <c r="H13" s="17" t="s">
        <v>12</v>
      </c>
      <c r="I13" s="1">
        <v>332</v>
      </c>
      <c r="J13" s="1">
        <v>164</v>
      </c>
      <c r="K13" s="1">
        <v>433</v>
      </c>
      <c r="L13" s="1">
        <v>144</v>
      </c>
      <c r="M13" s="1">
        <v>367</v>
      </c>
      <c r="N13" s="16"/>
    </row>
    <row r="14" spans="7:20" x14ac:dyDescent="0.25">
      <c r="G14" s="16">
        <v>8</v>
      </c>
      <c r="H14" s="17" t="s">
        <v>13</v>
      </c>
      <c r="I14" s="1">
        <v>358</v>
      </c>
      <c r="J14" s="1">
        <v>418</v>
      </c>
      <c r="K14" s="1">
        <v>209</v>
      </c>
      <c r="L14" s="1">
        <v>129</v>
      </c>
      <c r="M14" s="1">
        <v>186</v>
      </c>
      <c r="N14" s="16"/>
    </row>
    <row r="15" spans="7:20" x14ac:dyDescent="0.25">
      <c r="G15" s="16">
        <v>9</v>
      </c>
      <c r="H15" s="17" t="s">
        <v>14</v>
      </c>
      <c r="I15" s="1">
        <v>291</v>
      </c>
      <c r="J15" s="1">
        <v>216</v>
      </c>
      <c r="K15" s="1">
        <v>289</v>
      </c>
      <c r="L15" s="1">
        <v>304</v>
      </c>
      <c r="M15" s="1">
        <v>167</v>
      </c>
      <c r="N15" s="16"/>
    </row>
    <row r="16" spans="7:20" x14ac:dyDescent="0.25">
      <c r="G16" s="16">
        <v>10</v>
      </c>
      <c r="H16" s="17" t="s">
        <v>15</v>
      </c>
      <c r="I16" s="1">
        <v>274</v>
      </c>
      <c r="J16" s="1">
        <v>434</v>
      </c>
      <c r="K16" s="1">
        <v>189</v>
      </c>
      <c r="L16" s="1">
        <v>371</v>
      </c>
      <c r="M16" s="1">
        <v>359</v>
      </c>
      <c r="N16" s="16"/>
    </row>
    <row r="17" spans="7:14" x14ac:dyDescent="0.25">
      <c r="G17" s="16">
        <v>11</v>
      </c>
      <c r="H17" s="17" t="s">
        <v>16</v>
      </c>
      <c r="I17" s="1">
        <v>80</v>
      </c>
      <c r="J17" s="1">
        <v>173</v>
      </c>
      <c r="K17" s="1">
        <v>381</v>
      </c>
      <c r="L17" s="1">
        <v>425</v>
      </c>
      <c r="M17" s="1">
        <v>418</v>
      </c>
      <c r="N17" s="16"/>
    </row>
    <row r="18" spans="7:14" x14ac:dyDescent="0.25">
      <c r="G18" s="16">
        <v>12</v>
      </c>
      <c r="H18" s="17" t="s">
        <v>17</v>
      </c>
      <c r="I18" s="1">
        <v>432</v>
      </c>
      <c r="J18" s="1">
        <v>262</v>
      </c>
      <c r="K18" s="1">
        <v>423</v>
      </c>
      <c r="L18" s="1">
        <v>434</v>
      </c>
      <c r="M18" s="1">
        <v>153</v>
      </c>
      <c r="N18" s="16"/>
    </row>
    <row r="19" spans="7:14" x14ac:dyDescent="0.25">
      <c r="G19" s="16">
        <v>13</v>
      </c>
      <c r="H19" s="17" t="s">
        <v>18</v>
      </c>
      <c r="I19" s="1">
        <v>161</v>
      </c>
      <c r="J19" s="1">
        <v>293</v>
      </c>
      <c r="K19" s="1">
        <v>341</v>
      </c>
      <c r="L19" s="1">
        <v>166</v>
      </c>
      <c r="M19" s="1">
        <v>127</v>
      </c>
      <c r="N19" s="16"/>
    </row>
    <row r="20" spans="7:14" x14ac:dyDescent="0.25">
      <c r="G20" s="16">
        <v>14</v>
      </c>
      <c r="H20" s="17" t="s">
        <v>19</v>
      </c>
      <c r="I20" s="1">
        <v>135</v>
      </c>
      <c r="J20" s="1">
        <v>411</v>
      </c>
      <c r="K20" s="1">
        <v>147</v>
      </c>
      <c r="L20" s="1">
        <v>256</v>
      </c>
      <c r="M20" s="1">
        <v>91</v>
      </c>
      <c r="N20" s="16"/>
    </row>
  </sheetData>
  <dataValidations count="2">
    <dataValidation type="list" allowBlank="1" showInputMessage="1" showErrorMessage="1" sqref="Q4">
      <formula1>$H$7:$H$20</formula1>
    </dataValidation>
    <dataValidation type="list" allowBlank="1" showInputMessage="1" showErrorMessage="1" sqref="Q6">
      <formula1>$I$6:$M$6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Function</vt:lpstr>
      <vt:lpstr>match function</vt:lpstr>
      <vt:lpstr>Index+matchfunction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2025-12-16T08:42:45Z</dcterms:created>
  <dcterms:modified xsi:type="dcterms:W3CDTF">2025-12-16T10:15:46Z</dcterms:modified>
</cp:coreProperties>
</file>