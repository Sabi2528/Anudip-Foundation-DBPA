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asks Dataanalyst course\"/>
    </mc:Choice>
  </mc:AlternateContent>
  <bookViews>
    <workbookView xWindow="0" yWindow="0" windowWidth="20490" windowHeight="7620" activeTab="1"/>
  </bookViews>
  <sheets>
    <sheet name="Data Collction" sheetId="1" r:id="rId1"/>
    <sheet name="Subcategorywise" sheetId="7" r:id="rId2"/>
    <sheet name="shipmode" sheetId="8" r:id="rId3"/>
    <sheet name="sumofsales" sheetId="10" r:id="rId4"/>
    <sheet name="profit" sheetId="11" r:id="rId5"/>
    <sheet name="City Wise" sheetId="3" r:id="rId6"/>
    <sheet name="Statewise" sheetId="4" r:id="rId7"/>
    <sheet name="Categorywise" sheetId="5" r:id="rId8"/>
  </sheets>
  <calcPr calcId="162913"/>
  <pivotCaches>
    <pivotCache cacheId="17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<sst xmlns="http://schemas.openxmlformats.org/spreadsheetml/2006/main" count="268" uniqueCount="95">
  <si>
    <t>Order ID</t>
  </si>
  <si>
    <t>Product Name</t>
  </si>
  <si>
    <t>Category</t>
  </si>
  <si>
    <t>Sub-Category</t>
  </si>
  <si>
    <t>City</t>
  </si>
  <si>
    <t>Ship Mode</t>
  </si>
  <si>
    <t>Sales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</si>
  <si>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</si>
  <si>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</si>
  <si>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</si>
  <si>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</si>
  <si>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</si>
  <si>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</si>
  <si>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</si>
  <si>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</si>
  <si>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</si>
  <si>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</si>
  <si>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</si>
  <si>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</si>
  <si>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</si>
  <si>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</si>
  <si>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</si>
  <si>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</si>
  <si>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</si>
  <si>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</si>
  <si>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</si>
  <si>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</si>
  <si>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</si>
  <si>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</si>
  <si>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</si>
  <si>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</si>
  <si>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</si>
  <si>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</si>
  <si>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</si>
  <si>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</si>
  <si>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</si>
  <si>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</si>
  <si>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</si>
  <si>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</si>
  <si>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</si>
  <si>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</si>
  <si>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</si>
  <si>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</si>
  <si>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</si>
  <si>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</si>
  <si>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</si>
  <si>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</si>
  <si>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</si>
  <si>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</si>
  <si>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Holmes Replacement Filter for HEPA Air Cleaner</t>
  </si>
  <si>
    <t xml:space="preserve">Eldon Expressions Wood and Plastic Desk Accessories, 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</si>
  <si>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</si>
  <si>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</si>
  <si>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</si>
  <si>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</si>
  <si>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</si>
  <si>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</si>
  <si>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</si>
  <si>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</si>
  <si>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</si>
  <si>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</si>
  <si>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</si>
  <si>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</si>
  <si>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</si>
  <si>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</si>
  <si>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</si>
  <si>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</si>
  <si>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</si>
  <si>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</si>
  <si>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</si>
  <si>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</si>
  <si>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</si>
  <si>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</si>
  <si>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</si>
  <si>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</si>
  <si>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</si>
  <si>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</si>
  <si>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</si>
  <si>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Second Class</t>
  </si>
  <si>
    <t>Standard Class</t>
  </si>
  <si>
    <t>State</t>
  </si>
  <si>
    <t>Kentucky</t>
  </si>
  <si>
    <t>California</t>
  </si>
  <si>
    <t>Florida</t>
  </si>
  <si>
    <t>North Carolina</t>
  </si>
  <si>
    <t>Washington</t>
  </si>
  <si>
    <t>Texas</t>
  </si>
  <si>
    <t>Wisconsin</t>
  </si>
  <si>
    <t>Utah</t>
  </si>
  <si>
    <t>Nebraska</t>
  </si>
  <si>
    <t>Pennsylvania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</si>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</sst>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4- pivot table.xlsx]Subcategorywise!PivotTable5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Subcategorywise!$B$3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Subcategorywise!$A$4:$A$16</c:f>
              <c:strCache>
                <c:ptCount val="12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Furnishings</c:v>
                </c:pt>
                <c:pt idx="7">
                  <c:v>Labels</c:v>
                </c:pt>
                <c:pt idx="8">
                  <c:v>Paper</c:v>
                </c:pt>
                <c:pt idx="9">
                  <c:v>Phones</c:v>
                </c:pt>
                <c:pt idx="10">
                  <c:v>Storage</c:v>
                </c:pt>
                <c:pt idx="11">
                  <c:v>Tables</c:v>
                </c:pt>
              </c:strCache>
            </c:strRef>
          </c:cat>
          <c:val>
            <c:numRef>
              <c:f>Subcategorywise!$B$4:$B$16</c:f>
              <c:numCache>
                <c:formatCode>General</c:formatCode>
                <c:ptCount val="12"/>
                <c:pt idx="0">
                  <c:v>90.570000000000007</c:v>
                </c:pt>
                <c:pt idx="1">
                  <c:v>244.04999999999998</c:v>
                </c:pt>
                <c:pt idx="2">
                  <c:v>35.299999999999997</c:v>
                </c:pt>
                <c:pt idx="3">
                  <c:v>473.01000000000005</c:v>
                </c:pt>
                <c:pt idx="4">
                  <c:v>3345.3900000000003</c:v>
                </c:pt>
                <c:pt idx="5">
                  <c:v>803.3119999999999</c:v>
                </c:pt>
                <c:pt idx="6">
                  <c:v>48.86</c:v>
                </c:pt>
                <c:pt idx="7">
                  <c:v>14.62</c:v>
                </c:pt>
                <c:pt idx="8">
                  <c:v>15.552000000000003</c:v>
                </c:pt>
                <c:pt idx="9">
                  <c:v>2032.056</c:v>
                </c:pt>
                <c:pt idx="10">
                  <c:v>743.74800000000005</c:v>
                </c:pt>
                <c:pt idx="11">
                  <c:v>3708.3914999999997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5-475B-A300-A3FB0939F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496463"/>
        <c:axId val="864493967"/>
      </c:barChart>
      <c:catAx>
        <c:axId val="86449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493967"/>
        <c:crosses val="autoZero"/>
        <c:auto val="1"/>
        <c:lblAlgn val="ctr"/>
        <c:lblOffset val="100"/>
        <c:noMultiLvlLbl val="0"/>
      </c:catAx>
      <c:valAx>
        <c:axId val="86449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49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4- pivot table.xlsx]shipmode!PivotTable6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shipmode!$B$3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shipmode!$A$4:$A$6</c:f>
              <c:strCache>
                <c:ptCount val="2"/>
                <c:pt idx="0">
                  <c:v>Second Class</c:v>
                </c:pt>
                <c:pt idx="1">
                  <c:v>Standard Class</c:v>
                </c:pt>
              </c:strCache>
            </c:strRef>
          </c:cat>
          <c:val>
            <c:numRef>
              <c:f>shipmode!$B$4:$B$6</c:f>
              <c:numCache>
                <c:formatCode>General</c:formatCode>
                <c:ptCount val="2"/>
                <c:pt idx="0">
                  <c:v>1482.37</c:v>
                </c:pt>
                <c:pt idx="1">
                  <c:v>10072.489500000001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1-4D32-B7BC-B873644F1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368351"/>
        <c:axId val="705369183"/>
      </c:barChart>
      <c:catAx>
        <c:axId val="70536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69183"/>
        <c:crosses val="autoZero"/>
        <c:auto val="1"/>
        <c:lblAlgn val="ctr"/>
        <c:lblOffset val="100"/>
        <c:noMultiLvlLbl val="0"/>
      </c:catAx>
      <c:valAx>
        <c:axId val="70536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6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4- pivot table.xlsx]sumofsales!PivotTable8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sumofsales!$A$3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sumofsales!$A$4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sumofsales!$A$4</c:f>
              <c:numCache>
                <c:formatCode>General</c:formatCode>
                <c:ptCount val="1"/>
                <c:pt idx="0">
                  <c:v>11554.8595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8-40B2-9219-3DAE7FED1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363775"/>
        <c:axId val="705365439"/>
      </c:barChart>
      <c:catAx>
        <c:axId val="70536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65439"/>
        <c:crosses val="autoZero"/>
        <c:auto val="1"/>
        <c:lblAlgn val="ctr"/>
        <c:lblOffset val="100"/>
        <c:noMultiLvlLbl val="0"/>
      </c:catAx>
      <c:valAx>
        <c:axId val="7053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6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4- pivot table.xlsx]profit!PivotTable9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profit!$A$4</c:f>
              <c:numCache>
                <c:formatCode>General</c:formatCode>
                <c:ptCount val="1"/>
                <c:pt idx="0">
                  <c:v>-1147.9481000000003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C-4AB1-86B2-04FE7952F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367935"/>
        <c:axId val="705365855"/>
      </c:barChart>
      <c:catAx>
        <c:axId val="70536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65855"/>
        <c:crosses val="autoZero"/>
        <c:auto val="1"/>
        <c:lblAlgn val="ctr"/>
        <c:lblOffset val="100"/>
        <c:noMultiLvlLbl val="0"/>
      </c:catAx>
      <c:valAx>
        <c:axId val="70536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6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4- pivot table.xlsx]City Wise!PivotTable2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Wise'!$B$3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Wise'!$A$4:$A$16</c:f>
              <c:strCache>
                <c:ptCount val="12"/>
                <c:pt idx="0">
                  <c:v>Concord</c:v>
                </c:pt>
                <c:pt idx="1">
                  <c:v>Fort Lauderdale</c:v>
                </c:pt>
                <c:pt idx="2">
                  <c:v>Fort Worth</c:v>
                </c:pt>
                <c:pt idx="3">
                  <c:v>Fremont</c:v>
                </c:pt>
                <c:pt idx="4">
                  <c:v>Henderson</c:v>
                </c:pt>
                <c:pt idx="5">
                  <c:v>Los Angeles</c:v>
                </c:pt>
                <c:pt idx="6">
                  <c:v>Madison</c:v>
                </c:pt>
                <c:pt idx="7">
                  <c:v>Orem</c:v>
                </c:pt>
                <c:pt idx="8">
                  <c:v>Philadelphia</c:v>
                </c:pt>
                <c:pt idx="9">
                  <c:v>San Francisco</c:v>
                </c:pt>
                <c:pt idx="10">
                  <c:v>Seattle</c:v>
                </c:pt>
                <c:pt idx="11">
                  <c:v>West Jordan</c:v>
                </c:pt>
              </c:strCache>
            </c:strRef>
          </c:cat>
          <c:val>
            <c:numRef>
              <c:f>'City Wise'!$B$4:$B$16</c:f>
              <c:numCache>
                <c:formatCode>General</c:formatCode>
                <c:ptCount val="12"/>
                <c:pt idx="0">
                  <c:v>15.552000000000003</c:v>
                </c:pt>
                <c:pt idx="1">
                  <c:v>979.94550000000004</c:v>
                </c:pt>
                <c:pt idx="2">
                  <c:v>71.353999999999985</c:v>
                </c:pt>
                <c:pt idx="3">
                  <c:v>79.8</c:v>
                </c:pt>
                <c:pt idx="4">
                  <c:v>993.89999999999986</c:v>
                </c:pt>
                <c:pt idx="5">
                  <c:v>3831.1420000000003</c:v>
                </c:pt>
                <c:pt idx="6">
                  <c:v>665.88</c:v>
                </c:pt>
                <c:pt idx="7">
                  <c:v>1044.6299999999999</c:v>
                </c:pt>
                <c:pt idx="8">
                  <c:v>3164.42</c:v>
                </c:pt>
                <c:pt idx="9">
                  <c:v>244.76000000000002</c:v>
                </c:pt>
                <c:pt idx="10">
                  <c:v>407.97600000000006</c:v>
                </c:pt>
                <c:pt idx="11">
                  <c:v>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A-42C2-9C7A-2AA04CAD5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765151"/>
        <c:axId val="704763903"/>
      </c:barChart>
      <c:catAx>
        <c:axId val="70476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763903"/>
        <c:crosses val="autoZero"/>
        <c:auto val="1"/>
        <c:lblAlgn val="ctr"/>
        <c:lblOffset val="100"/>
        <c:noMultiLvlLbl val="0"/>
      </c:catAx>
      <c:valAx>
        <c:axId val="70476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76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4- pivot table.xlsx]Statewise!PivotTable3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Statewise!$B$3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Statewise!$A$4:$A$14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Kentucky</c:v>
                </c:pt>
                <c:pt idx="3">
                  <c:v>Nebraska</c:v>
                </c:pt>
                <c:pt idx="4">
                  <c:v>North Carolina</c:v>
                </c:pt>
                <c:pt idx="5">
                  <c:v>Pennsylvania</c:v>
                </c:pt>
                <c:pt idx="6">
                  <c:v>Texas</c:v>
                </c:pt>
                <c:pt idx="7">
                  <c:v>Utah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Statewise!$B$4:$B$14</c:f>
              <c:numCache>
                <c:formatCode>General</c:formatCode>
                <c:ptCount val="10"/>
                <c:pt idx="0">
                  <c:v>4075.902</c:v>
                </c:pt>
                <c:pt idx="1">
                  <c:v>979.94550000000004</c:v>
                </c:pt>
                <c:pt idx="2">
                  <c:v>993.89999999999986</c:v>
                </c:pt>
                <c:pt idx="3">
                  <c:v>79.8</c:v>
                </c:pt>
                <c:pt idx="4">
                  <c:v>15.552000000000003</c:v>
                </c:pt>
                <c:pt idx="5">
                  <c:v>3164.42</c:v>
                </c:pt>
                <c:pt idx="6">
                  <c:v>71.353999999999985</c:v>
                </c:pt>
                <c:pt idx="7">
                  <c:v>1100.1299999999999</c:v>
                </c:pt>
                <c:pt idx="8">
                  <c:v>407.97600000000006</c:v>
                </c:pt>
                <c:pt idx="9">
                  <c:v>665.88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C-43E7-9673-F3C3D02E3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889183"/>
        <c:axId val="710166575"/>
      </c:barChart>
      <c:catAx>
        <c:axId val="71288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66575"/>
        <c:crosses val="autoZero"/>
        <c:auto val="1"/>
        <c:lblAlgn val="ctr"/>
        <c:lblOffset val="100"/>
        <c:noMultiLvlLbl val="0"/>
      </c:catAx>
      <c:valAx>
        <c:axId val="71016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8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4- pivot table.xlsx]Categorywise!PivotTable4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Categorywise!$B$3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Categorywise!$A$4:$A$7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Categorywise!$B$4:$B$7</c:f>
              <c:numCache>
                <c:formatCode>General</c:formatCode>
                <c:ptCount val="3"/>
                <c:pt idx="0">
                  <c:v>7905.9534999999996</c:v>
                </c:pt>
                <c:pt idx="1">
                  <c:v>1526.2799999999997</c:v>
                </c:pt>
                <c:pt idx="2">
                  <c:v>2122.6260000000002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3-4B1A-B298-EAB89E0C1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491887"/>
        <c:axId val="864492719"/>
      </c:barChart>
      <c:catAx>
        <c:axId val="86449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492719"/>
        <c:crosses val="autoZero"/>
        <c:auto val="1"/>
        <c:lblAlgn val="ctr"/>
        <c:lblOffset val="100"/>
        <c:noMultiLvlLbl val="0"/>
      </c:catAx>
      <c:valAx>
        <c:axId val="86449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49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581026</xdr:colOff>
      <xdr:row>3</xdr:row>
      <xdr:rowOff>114300</xdr:rowOff>
    </xdr:from>
    <xdr:to>
      <xdr:col>12</xdr:col>
      <xdr:colOff>571500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276224</xdr:colOff>
      <xdr:row>2</xdr:row>
      <xdr:rowOff>57150</xdr:rowOff>
    </xdr:from>
    <xdr:to>
      <xdr:col>12</xdr:col>
      <xdr:colOff>495299</xdr:colOff>
      <xdr:row>18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590549</xdr:colOff>
      <xdr:row>3</xdr:row>
      <xdr:rowOff>85725</xdr:rowOff>
    </xdr:from>
    <xdr:to>
      <xdr:col>12</xdr:col>
      <xdr:colOff>47624</xdr:colOff>
      <xdr:row>17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</xdr:row>
      <xdr:rowOff>0</xdr:rowOff>
    </xdr:from>
    <xdr:to>
      <xdr:col>9</xdr:col>
      <xdr:colOff>295275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3</xdr:row>
      <xdr:rowOff>114300</xdr:rowOff>
    </xdr:from>
    <xdr:to>
      <xdr:col>12</xdr:col>
      <xdr:colOff>590550</xdr:colOff>
      <xdr:row>20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</xdr:row>
      <xdr:rowOff>76200</xdr:rowOff>
    </xdr:from>
    <xdr:to>
      <xdr:col>14</xdr:col>
      <xdr:colOff>152401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3</xdr:row>
      <xdr:rowOff>28575</xdr:rowOff>
    </xdr:from>
    <xdr:to>
      <xdr:col>11</xdr:col>
      <xdr:colOff>238125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06.495253009256" createdVersion="6" refreshedVersion="6" minRefreshableVersion="3" recordCount="29">
  <cacheSource type="worksheet">
    <worksheetSource ref="A2:I31" sheet="Data Collction"/>
  </cacheSource>
  <cacheFields count="9">
    <cacheField name="Order ID" numFmtId="0">
      <sharedItems/>
    </cacheField>
    <cacheField name="Product Name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2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</sharedItems>
    </cacheField>
    <cacheField name="State" numFmtId="0">
      <sharedItems count="10">
        <s v="Kentucky"/>
        <s v="California"/>
        <s v="Florida"/>
        <s v="North Carolina"/>
        <s v="Washington"/>
        <s v="Texas"/>
        <s v="Wisconsin"/>
        <s v="Utah"/>
        <s v="Nebraska"/>
        <s v="Pennsylvania"/>
      </sharedItems>
    </cacheField>
    <cacheField name="City" numFmtId="0">
      <sharedItems count="1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</sharedItems>
    </cacheField>
    <cacheField name="Ship Mode" numFmtId="0">
      <sharedItems count="2">
        <s v="Second Class"/>
        <s v="Standard Class"/>
      </sharedItems>
    </cacheField>
    <cacheField name="Sales" numFmtId="0">
      <sharedItems containsSemiMixedTypes="0" containsString="0" containsNumber="1" minValue="2.5439999999999996" maxValue="3083.4300000000003"/>
    </cacheField>
    <cacheField name="Profit" numFmtId="0">
      <sharedItems containsSemiMixedTypes="0" containsString="0" containsNumber="1" minValue="-1665.0522000000001" maxValue="240.2649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s v="CA-2016-152156"/>
    <s v="Bush Somerset Collection Bookcase"/>
    <x v="0"/>
    <x v="0"/>
    <x v="0"/>
    <x v="0"/>
    <x v="0"/>
    <n v="261.95999999999998"/>
    <n v="41.913600000000002"/>
  </r>
  <r>
    <s v="CA-2016-152156"/>
    <s v="Hon Deluxe Fabric Upholstered Stacking Chairs, Rounded Back"/>
    <x v="0"/>
    <x v="1"/>
    <x v="0"/>
    <x v="0"/>
    <x v="0"/>
    <n v="731.93999999999994"/>
    <n v="219.58199999999997"/>
  </r>
  <r>
    <s v="CA-2016-138688"/>
    <s v="Self-Adhesive Address Labels for Typewriters by Universal"/>
    <x v="1"/>
    <x v="2"/>
    <x v="1"/>
    <x v="1"/>
    <x v="0"/>
    <n v="14.62"/>
    <n v="6.8713999999999995"/>
  </r>
  <r>
    <s v="US-2015-108966"/>
    <s v="Bretford CR4500 Series Slim Rectangular Table"/>
    <x v="0"/>
    <x v="3"/>
    <x v="2"/>
    <x v="2"/>
    <x v="1"/>
    <n v="957.57749999999999"/>
    <n v="-383.03100000000006"/>
  </r>
  <r>
    <s v="US-2015-108966"/>
    <s v="Eldon Fold 'N Roll Cart System"/>
    <x v="1"/>
    <x v="4"/>
    <x v="2"/>
    <x v="2"/>
    <x v="1"/>
    <n v="22.368000000000002"/>
    <n v="2.5163999999999991"/>
  </r>
  <r>
    <s v="CA-2014-115812"/>
    <s v="Eldon Expressions Wood and Plastic Desk Accessories, "/>
    <x v="0"/>
    <x v="5"/>
    <x v="1"/>
    <x v="1"/>
    <x v="1"/>
    <n v="48.86"/>
    <n v="14.169399999999996"/>
  </r>
  <r>
    <s v="CA-2014-115812"/>
    <s v="Newell 322"/>
    <x v="1"/>
    <x v="6"/>
    <x v="1"/>
    <x v="1"/>
    <x v="1"/>
    <n v="7.28"/>
    <n v="1.9656000000000002"/>
  </r>
  <r>
    <s v="CA-2014-115812"/>
    <s v="Mitel 5320 IP Phone VoIP phone"/>
    <x v="2"/>
    <x v="7"/>
    <x v="1"/>
    <x v="1"/>
    <x v="1"/>
    <n v="907.15200000000004"/>
    <n v="90.715200000000038"/>
  </r>
  <r>
    <s v="CA-2014-115812"/>
    <s v="DXL Angle-View Binders with Locking Rings by Samsill"/>
    <x v="1"/>
    <x v="8"/>
    <x v="1"/>
    <x v="1"/>
    <x v="1"/>
    <n v="18.504000000000001"/>
    <n v="5.7824999999999998"/>
  </r>
  <r>
    <s v="CA-2014-115812"/>
    <s v="Belkin F5C206VTEL 6 Outlet Surge"/>
    <x v="1"/>
    <x v="9"/>
    <x v="1"/>
    <x v="1"/>
    <x v="1"/>
    <n v="114.9"/>
    <n v="34.469999999999992"/>
  </r>
  <r>
    <s v="CA-2014-115812"/>
    <s v="Chromcraft Rectangular Conference Tables"/>
    <x v="0"/>
    <x v="3"/>
    <x v="1"/>
    <x v="1"/>
    <x v="1"/>
    <n v="1706.1840000000002"/>
    <n v="85.309199999999805"/>
  </r>
  <r>
    <s v="CA-2014-115812"/>
    <s v="Konftel 250 Conference phone - Charcoal black"/>
    <x v="2"/>
    <x v="7"/>
    <x v="1"/>
    <x v="1"/>
    <x v="1"/>
    <n v="911.42399999999998"/>
    <n v="68.356800000000021"/>
  </r>
  <r>
    <s v="CA-2017-114412"/>
    <s v="Xerox 1967"/>
    <x v="1"/>
    <x v="10"/>
    <x v="3"/>
    <x v="3"/>
    <x v="1"/>
    <n v="15.552000000000003"/>
    <n v="5.4432"/>
  </r>
  <r>
    <s v="CA-2016-161389"/>
    <s v="Fellowes PB200 Plastic Comb Binding Machine"/>
    <x v="1"/>
    <x v="8"/>
    <x v="4"/>
    <x v="4"/>
    <x v="1"/>
    <n v="407.97600000000006"/>
    <n v="132.59219999999993"/>
  </r>
  <r>
    <s v="US-2015-118983"/>
    <s v="Holmes Replacement Filter for HEPA Air Cleaner"/>
    <x v="1"/>
    <x v="9"/>
    <x v="5"/>
    <x v="5"/>
    <x v="1"/>
    <n v="68.809999999999988"/>
    <n v="-123.858"/>
  </r>
  <r>
    <s v="US-2015-118983"/>
    <s v="Storex DuraTech Recycled Plastic Frosted Binders"/>
    <x v="1"/>
    <x v="8"/>
    <x v="5"/>
    <x v="5"/>
    <x v="1"/>
    <n v="2.5439999999999996"/>
    <n v="-3.8160000000000016"/>
  </r>
  <r>
    <s v="CA-2014-105893"/>
    <s v="Stur-D-Stor Shelving, Vertical 5-Shelf: 72&quot;H x 36&quot;W x 18 1/2&quot;D"/>
    <x v="1"/>
    <x v="4"/>
    <x v="6"/>
    <x v="6"/>
    <x v="1"/>
    <n v="665.88"/>
    <n v="13.317599999999999"/>
  </r>
  <r>
    <s v="CA-2014-167164"/>
    <s v="Fellowes Super Stor/Drawer"/>
    <x v="1"/>
    <x v="4"/>
    <x v="7"/>
    <x v="7"/>
    <x v="0"/>
    <n v="55.5"/>
    <n v="9.9899999999999949"/>
  </r>
  <r>
    <s v="CA-2014-143336"/>
    <s v="Newell 341"/>
    <x v="1"/>
    <x v="6"/>
    <x v="1"/>
    <x v="8"/>
    <x v="0"/>
    <n v="8.56"/>
    <n v="2.4823999999999993"/>
  </r>
  <r>
    <s v="CA-2014-143336"/>
    <s v="Cisco SPA 501G IP Phone"/>
    <x v="2"/>
    <x v="7"/>
    <x v="1"/>
    <x v="8"/>
    <x v="0"/>
    <n v="213.48000000000002"/>
    <n v="16.010999999999981"/>
  </r>
  <r>
    <s v="CA-2014-143336"/>
    <s v="Wilson Jones Hanging View Binder, White, 1&quot;"/>
    <x v="1"/>
    <x v="8"/>
    <x v="1"/>
    <x v="8"/>
    <x v="0"/>
    <n v="22.72"/>
    <n v="7.3839999999999986"/>
  </r>
  <r>
    <s v="CA-2016-137330"/>
    <s v="Newell 318"/>
    <x v="1"/>
    <x v="6"/>
    <x v="8"/>
    <x v="9"/>
    <x v="1"/>
    <n v="19.459999999999997"/>
    <n v="5.0595999999999997"/>
  </r>
  <r>
    <s v="CA-2016-137330"/>
    <s v="Acco Six-Outlet Power Strip, 4' Cord Length"/>
    <x v="1"/>
    <x v="9"/>
    <x v="8"/>
    <x v="9"/>
    <x v="1"/>
    <n v="60.339999999999996"/>
    <n v="15.688400000000001"/>
  </r>
  <r>
    <s v="US-2017-156909"/>
    <s v="Global Deluxe Stacking Chair, Gray"/>
    <x v="0"/>
    <x v="1"/>
    <x v="9"/>
    <x v="10"/>
    <x v="0"/>
    <n v="71.371999999999986"/>
    <n v="-1.0196000000000005"/>
  </r>
  <r>
    <s v="CA-2015-106320"/>
    <s v="Bretford CR4500 Series Slim Rectangular Table"/>
    <x v="0"/>
    <x v="3"/>
    <x v="7"/>
    <x v="11"/>
    <x v="1"/>
    <n v="1044.6299999999999"/>
    <n v="240.26490000000001"/>
  </r>
  <r>
    <s v="CA-2016-121755"/>
    <s v="Wilson Jones Active Use Binders"/>
    <x v="1"/>
    <x v="8"/>
    <x v="1"/>
    <x v="1"/>
    <x v="0"/>
    <n v="11.648000000000001"/>
    <n v="4.2224000000000004"/>
  </r>
  <r>
    <s v="CA-2016-121755"/>
    <s v="Imation 8GB Mini TravelDrive USB 2.0 Flash Drive"/>
    <x v="2"/>
    <x v="11"/>
    <x v="1"/>
    <x v="1"/>
    <x v="0"/>
    <n v="90.570000000000007"/>
    <n v="11.774100000000004"/>
  </r>
  <r>
    <s v="US-2015-150630"/>
    <s v="Riverside Palais Royal Lawyers Bookcase, Royale Cherry Finish"/>
    <x v="0"/>
    <x v="0"/>
    <x v="9"/>
    <x v="10"/>
    <x v="1"/>
    <n v="3083.4300000000003"/>
    <n v="-1665.0522000000001"/>
  </r>
  <r>
    <s v="US-2015-150630"/>
    <s v="Avery Recycled Flexi-View Covers for Binding Systems"/>
    <x v="1"/>
    <x v="8"/>
    <x v="9"/>
    <x v="10"/>
    <x v="1"/>
    <n v="9.6180000000000021"/>
    <n v="-7.0532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6" firstHeaderRow="1" firstDataRow="1" firstDataCol="1"/>
  <pivotFields count="9">
    <pivotField showAll="0"/>
    <pivotField showAll="0"/>
    <pivotField showAll="0"/>
    <pivotField axis="axisRow" showAll="0">
      <items count="13">
        <item x="11"/>
        <item x="9"/>
        <item x="6"/>
        <item x="8"/>
        <item x="0"/>
        <item x="1"/>
        <item x="5"/>
        <item x="2"/>
        <item x="10"/>
        <item x="7"/>
        <item x="4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6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A4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A4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6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13">
        <item x="3"/>
        <item x="2"/>
        <item x="5"/>
        <item x="9"/>
        <item x="0"/>
        <item x="1"/>
        <item x="6"/>
        <item x="11"/>
        <item x="10"/>
        <item x="8"/>
        <item x="4"/>
        <item x="7"/>
        <item t="default"/>
      </items>
    </pivotField>
    <pivotField showAll="0"/>
    <pivotField dataField="1"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4" firstHeaderRow="1" firstDataRow="1" firstDataCol="1"/>
  <pivotFields count="9">
    <pivotField showAll="0"/>
    <pivotField showAll="0"/>
    <pivotField showAll="0"/>
    <pivotField showAll="0"/>
    <pivotField axis="axisRow" showAll="0">
      <items count="11">
        <item x="1"/>
        <item x="2"/>
        <item x="0"/>
        <item x="8"/>
        <item x="3"/>
        <item x="9"/>
        <item x="5"/>
        <item x="7"/>
        <item x="4"/>
        <item x="6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9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opLeftCell="A2" workbookViewId="0">
      <selection activeCell="C12" sqref="A2:I31"/>
    </sheetView>
  </sheetViews>
  <sheetFormatPr defaultRowHeight="15" x14ac:dyDescent="0.25"/>
  <cols>
    <col min="1" max="1" width="21.140625" style="1" customWidth="1"/>
    <col min="2" max="2" width="56.140625" style="1" customWidth="1"/>
    <col min="3" max="3" width="13.7109375" style="1" customWidth="1"/>
    <col min="4" max="4" width="12.85546875" style="1" bestFit="1" customWidth="1"/>
    <col min="5" max="5" width="12.85546875" style="1" customWidth="1"/>
    <col min="6" max="6" width="16.42578125" style="1" customWidth="1"/>
    <col min="7" max="7" width="13.5703125" style="1" customWidth="1"/>
    <col min="8" max="16384" width="9.140625" style="1"/>
  </cols>
  <sheetData>
    <row r="1" spans="1:9" ht="18.75" x14ac:dyDescent="0.3">
      <c r="A1" s="2"/>
      <c r="B1" s="2"/>
      <c r="C1" s="2"/>
      <c r="D1" s="2"/>
      <c r="E1" s="2"/>
      <c r="F1" s="2"/>
      <c r="G1" s="2"/>
      <c r="H1" s="2"/>
      <c r="I1" s="2"/>
    </row>
    <row r="2" spans="1:9" ht="18.7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80</v>
      </c>
      <c r="F2" s="3" t="s">
        <v>4</v>
      </c>
      <c r="G2" s="3" t="s">
        <v>5</v>
      </c>
      <c r="H2" s="3" t="s">
        <v>6</v>
      </c>
      <c r="I2" s="3" t="s">
        <v>7</v>
      </c>
    </row>
    <row r="3" spans="1:9" x14ac:dyDescent="0.25">
      <c r="A3" s="4" t="s">
        <v>8</v>
      </c>
      <c r="B3" s="4" t="s">
        <v>23</v>
      </c>
      <c r="C3" s="4" t="s">
        <v>51</v>
      </c>
      <c r="D3" s="4" t="s">
        <v>54</v>
      </c>
      <c r="E3" s="4" t="s">
        <v>81</v>
      </c>
      <c r="F3" s="4" t="s">
        <v>66</v>
      </c>
      <c r="G3" s="4" t="s">
        <v>78</v>
      </c>
      <c r="H3" s="4">
        <v>261.95999999999998</v>
      </c>
      <c r="I3" s="4">
        <v>41.913600000000002</v>
      </c>
    </row>
    <row r="4" spans="1:9" x14ac:dyDescent="0.25">
      <c r="A4" s="4" t="s">
        <v>8</v>
      </c>
      <c r="B4" s="4" t="s">
        <v>24</v>
      </c>
      <c r="C4" s="4" t="s">
        <v>51</v>
      </c>
      <c r="D4" s="4" t="s">
        <v>55</v>
      </c>
      <c r="E4" s="4" t="s">
        <v>81</v>
      </c>
      <c r="F4" s="4" t="s">
        <v>66</v>
      </c>
      <c r="G4" s="4" t="s">
        <v>78</v>
      </c>
      <c r="H4" s="4">
        <v>731.93999999999994</v>
      </c>
      <c r="I4" s="4">
        <v>219.58199999999997</v>
      </c>
    </row>
    <row r="5" spans="1:9" x14ac:dyDescent="0.25">
      <c r="A5" s="4" t="s">
        <v>9</v>
      </c>
      <c r="B5" s="4" t="s">
        <v>25</v>
      </c>
      <c r="C5" s="4" t="s">
        <v>52</v>
      </c>
      <c r="D5" s="4" t="s">
        <v>56</v>
      </c>
      <c r="E5" s="4" t="s">
        <v>82</v>
      </c>
      <c r="F5" s="4" t="s">
        <v>67</v>
      </c>
      <c r="G5" s="4" t="s">
        <v>78</v>
      </c>
      <c r="H5" s="4">
        <v>14.62</v>
      </c>
      <c r="I5" s="4">
        <v>6.8713999999999995</v>
      </c>
    </row>
    <row r="6" spans="1:9" x14ac:dyDescent="0.25">
      <c r="A6" s="4" t="s">
        <v>10</v>
      </c>
      <c r="B6" s="4" t="s">
        <v>26</v>
      </c>
      <c r="C6" s="4" t="s">
        <v>51</v>
      </c>
      <c r="D6" s="4" t="s">
        <v>57</v>
      </c>
      <c r="E6" s="4" t="s">
        <v>83</v>
      </c>
      <c r="F6" s="4" t="s">
        <v>68</v>
      </c>
      <c r="G6" s="4" t="s">
        <v>79</v>
      </c>
      <c r="H6" s="4">
        <v>957.57749999999999</v>
      </c>
      <c r="I6" s="4">
        <v>-383.03100000000006</v>
      </c>
    </row>
    <row r="7" spans="1:9" x14ac:dyDescent="0.25">
      <c r="A7" s="4" t="s">
        <v>10</v>
      </c>
      <c r="B7" s="4" t="s">
        <v>27</v>
      </c>
      <c r="C7" s="4" t="s">
        <v>52</v>
      </c>
      <c r="D7" s="4" t="s">
        <v>58</v>
      </c>
      <c r="E7" s="4" t="s">
        <v>83</v>
      </c>
      <c r="F7" s="4" t="s">
        <v>68</v>
      </c>
      <c r="G7" s="4" t="s">
        <v>79</v>
      </c>
      <c r="H7" s="4">
        <v>22.368000000000002</v>
      </c>
      <c r="I7" s="4">
        <v>2.5163999999999991</v>
      </c>
    </row>
    <row r="8" spans="1:9" x14ac:dyDescent="0.25">
      <c r="A8" s="4" t="s">
        <v>11</v>
      </c>
      <c r="B8" s="4" t="s">
        <v>50</v>
      </c>
      <c r="C8" s="4" t="s">
        <v>51</v>
      </c>
      <c r="D8" s="4" t="s">
        <v>59</v>
      </c>
      <c r="E8" s="4" t="s">
        <v>82</v>
      </c>
      <c r="F8" s="4" t="s">
        <v>67</v>
      </c>
      <c r="G8" s="4" t="s">
        <v>79</v>
      </c>
      <c r="H8" s="4">
        <v>48.86</v>
      </c>
      <c r="I8" s="4">
        <v>14.169399999999996</v>
      </c>
    </row>
    <row r="9" spans="1:9" x14ac:dyDescent="0.25">
      <c r="A9" s="4" t="s">
        <v>11</v>
      </c>
      <c r="B9" s="4" t="s">
        <v>28</v>
      </c>
      <c r="C9" s="4" t="s">
        <v>52</v>
      </c>
      <c r="D9" s="4" t="s">
        <v>60</v>
      </c>
      <c r="E9" s="4" t="s">
        <v>82</v>
      </c>
      <c r="F9" s="4" t="s">
        <v>67</v>
      </c>
      <c r="G9" s="4" t="s">
        <v>79</v>
      </c>
      <c r="H9" s="4">
        <v>7.28</v>
      </c>
      <c r="I9" s="4">
        <v>1.9656000000000002</v>
      </c>
    </row>
    <row r="10" spans="1:9" x14ac:dyDescent="0.25">
      <c r="A10" s="4" t="s">
        <v>11</v>
      </c>
      <c r="B10" s="4" t="s">
        <v>29</v>
      </c>
      <c r="C10" s="4" t="s">
        <v>53</v>
      </c>
      <c r="D10" s="4" t="s">
        <v>61</v>
      </c>
      <c r="E10" s="4" t="s">
        <v>82</v>
      </c>
      <c r="F10" s="4" t="s">
        <v>67</v>
      </c>
      <c r="G10" s="4" t="s">
        <v>79</v>
      </c>
      <c r="H10" s="4">
        <v>907.15200000000004</v>
      </c>
      <c r="I10" s="4">
        <v>90.715200000000038</v>
      </c>
    </row>
    <row r="11" spans="1:9" x14ac:dyDescent="0.25">
      <c r="A11" s="4" t="s">
        <v>11</v>
      </c>
      <c r="B11" s="4" t="s">
        <v>30</v>
      </c>
      <c r="C11" s="4" t="s">
        <v>52</v>
      </c>
      <c r="D11" s="4" t="s">
        <v>62</v>
      </c>
      <c r="E11" s="4" t="s">
        <v>82</v>
      </c>
      <c r="F11" s="4" t="s">
        <v>67</v>
      </c>
      <c r="G11" s="4" t="s">
        <v>79</v>
      </c>
      <c r="H11" s="4">
        <v>18.504000000000001</v>
      </c>
      <c r="I11" s="4">
        <v>5.7824999999999998</v>
      </c>
    </row>
    <row r="12" spans="1:9" x14ac:dyDescent="0.25">
      <c r="A12" s="4" t="s">
        <v>11</v>
      </c>
      <c r="B12" s="4" t="s">
        <v>31</v>
      </c>
      <c r="C12" s="4" t="s">
        <v>52</v>
      </c>
      <c r="D12" s="4" t="s">
        <v>63</v>
      </c>
      <c r="E12" s="4" t="s">
        <v>82</v>
      </c>
      <c r="F12" s="4" t="s">
        <v>67</v>
      </c>
      <c r="G12" s="4" t="s">
        <v>79</v>
      </c>
      <c r="H12" s="4">
        <v>114.9</v>
      </c>
      <c r="I12" s="4">
        <v>34.469999999999992</v>
      </c>
    </row>
    <row r="13" spans="1:9" x14ac:dyDescent="0.25">
      <c r="A13" s="4" t="s">
        <v>11</v>
      </c>
      <c r="B13" s="4" t="s">
        <v>32</v>
      </c>
      <c r="C13" s="4" t="s">
        <v>51</v>
      </c>
      <c r="D13" s="4" t="s">
        <v>57</v>
      </c>
      <c r="E13" s="4" t="s">
        <v>82</v>
      </c>
      <c r="F13" s="4" t="s">
        <v>67</v>
      </c>
      <c r="G13" s="4" t="s">
        <v>79</v>
      </c>
      <c r="H13" s="4">
        <v>1706.1840000000002</v>
      </c>
      <c r="I13" s="4">
        <v>85.309199999999805</v>
      </c>
    </row>
    <row r="14" spans="1:9" x14ac:dyDescent="0.25">
      <c r="A14" s="4" t="s">
        <v>11</v>
      </c>
      <c r="B14" s="4" t="s">
        <v>33</v>
      </c>
      <c r="C14" s="4" t="s">
        <v>53</v>
      </c>
      <c r="D14" s="4" t="s">
        <v>61</v>
      </c>
      <c r="E14" s="4" t="s">
        <v>82</v>
      </c>
      <c r="F14" s="4" t="s">
        <v>67</v>
      </c>
      <c r="G14" s="4" t="s">
        <v>79</v>
      </c>
      <c r="H14" s="4">
        <v>911.42399999999998</v>
      </c>
      <c r="I14" s="4">
        <v>68.356800000000021</v>
      </c>
    </row>
    <row r="15" spans="1:9" x14ac:dyDescent="0.25">
      <c r="A15" s="4" t="s">
        <v>12</v>
      </c>
      <c r="B15" s="4" t="s">
        <v>34</v>
      </c>
      <c r="C15" s="4" t="s">
        <v>52</v>
      </c>
      <c r="D15" s="4" t="s">
        <v>64</v>
      </c>
      <c r="E15" s="4" t="s">
        <v>84</v>
      </c>
      <c r="F15" s="4" t="s">
        <v>69</v>
      </c>
      <c r="G15" s="4" t="s">
        <v>79</v>
      </c>
      <c r="H15" s="4">
        <v>15.552000000000003</v>
      </c>
      <c r="I15" s="4">
        <v>5.4432</v>
      </c>
    </row>
    <row r="16" spans="1:9" x14ac:dyDescent="0.25">
      <c r="A16" s="4" t="s">
        <v>13</v>
      </c>
      <c r="B16" s="4" t="s">
        <v>35</v>
      </c>
      <c r="C16" s="4" t="s">
        <v>52</v>
      </c>
      <c r="D16" s="4" t="s">
        <v>62</v>
      </c>
      <c r="E16" s="4" t="s">
        <v>85</v>
      </c>
      <c r="F16" s="4" t="s">
        <v>70</v>
      </c>
      <c r="G16" s="4" t="s">
        <v>79</v>
      </c>
      <c r="H16" s="4">
        <v>407.97600000000006</v>
      </c>
      <c r="I16" s="4">
        <v>132.59219999999993</v>
      </c>
    </row>
    <row r="17" spans="1:9" x14ac:dyDescent="0.25">
      <c r="A17" s="4" t="s">
        <v>14</v>
      </c>
      <c r="B17" s="4" t="s">
        <v>49</v>
      </c>
      <c r="C17" s="4" t="s">
        <v>52</v>
      </c>
      <c r="D17" s="4" t="s">
        <v>63</v>
      </c>
      <c r="E17" s="4" t="s">
        <v>86</v>
      </c>
      <c r="F17" s="4" t="s">
        <v>71</v>
      </c>
      <c r="G17" s="4" t="s">
        <v>79</v>
      </c>
      <c r="H17" s="4">
        <v>68.809999999999988</v>
      </c>
      <c r="I17" s="4">
        <v>-123.858</v>
      </c>
    </row>
    <row r="18" spans="1:9" x14ac:dyDescent="0.25">
      <c r="A18" s="4" t="s">
        <v>14</v>
      </c>
      <c r="B18" s="4" t="s">
        <v>36</v>
      </c>
      <c r="C18" s="4" t="s">
        <v>52</v>
      </c>
      <c r="D18" s="4" t="s">
        <v>62</v>
      </c>
      <c r="E18" s="4" t="s">
        <v>86</v>
      </c>
      <c r="F18" s="4" t="s">
        <v>71</v>
      </c>
      <c r="G18" s="4" t="s">
        <v>79</v>
      </c>
      <c r="H18" s="4">
        <v>2.5439999999999996</v>
      </c>
      <c r="I18" s="4">
        <v>-3.8160000000000016</v>
      </c>
    </row>
    <row r="19" spans="1:9" x14ac:dyDescent="0.25">
      <c r="A19" s="4" t="s">
        <v>15</v>
      </c>
      <c r="B19" s="4" t="s">
        <v>37</v>
      </c>
      <c r="C19" s="4" t="s">
        <v>52</v>
      </c>
      <c r="D19" s="4" t="s">
        <v>58</v>
      </c>
      <c r="E19" s="4" t="s">
        <v>87</v>
      </c>
      <c r="F19" s="4" t="s">
        <v>72</v>
      </c>
      <c r="G19" s="4" t="s">
        <v>79</v>
      </c>
      <c r="H19" s="4">
        <v>665.88</v>
      </c>
      <c r="I19" s="4">
        <v>13.317599999999999</v>
      </c>
    </row>
    <row r="20" spans="1:9" x14ac:dyDescent="0.25">
      <c r="A20" s="4" t="s">
        <v>16</v>
      </c>
      <c r="B20" s="4" t="s">
        <v>38</v>
      </c>
      <c r="C20" s="4" t="s">
        <v>52</v>
      </c>
      <c r="D20" s="4" t="s">
        <v>58</v>
      </c>
      <c r="E20" s="4" t="s">
        <v>88</v>
      </c>
      <c r="F20" s="4" t="s">
        <v>73</v>
      </c>
      <c r="G20" s="4" t="s">
        <v>78</v>
      </c>
      <c r="H20" s="4">
        <v>55.5</v>
      </c>
      <c r="I20" s="4">
        <v>9.9899999999999949</v>
      </c>
    </row>
    <row r="21" spans="1:9" x14ac:dyDescent="0.25">
      <c r="A21" s="4" t="s">
        <v>17</v>
      </c>
      <c r="B21" s="4" t="s">
        <v>39</v>
      </c>
      <c r="C21" s="4" t="s">
        <v>52</v>
      </c>
      <c r="D21" s="4" t="s">
        <v>60</v>
      </c>
      <c r="E21" s="4" t="s">
        <v>82</v>
      </c>
      <c r="F21" s="4" t="s">
        <v>74</v>
      </c>
      <c r="G21" s="4" t="s">
        <v>78</v>
      </c>
      <c r="H21" s="4">
        <v>8.56</v>
      </c>
      <c r="I21" s="4">
        <v>2.4823999999999993</v>
      </c>
    </row>
    <row r="22" spans="1:9" x14ac:dyDescent="0.25">
      <c r="A22" s="4" t="s">
        <v>17</v>
      </c>
      <c r="B22" s="4" t="s">
        <v>40</v>
      </c>
      <c r="C22" s="4" t="s">
        <v>53</v>
      </c>
      <c r="D22" s="4" t="s">
        <v>61</v>
      </c>
      <c r="E22" s="4" t="s">
        <v>82</v>
      </c>
      <c r="F22" s="4" t="s">
        <v>74</v>
      </c>
      <c r="G22" s="4" t="s">
        <v>78</v>
      </c>
      <c r="H22" s="4">
        <v>213.48000000000002</v>
      </c>
      <c r="I22" s="4">
        <v>16.010999999999981</v>
      </c>
    </row>
    <row r="23" spans="1:9" x14ac:dyDescent="0.25">
      <c r="A23" s="4" t="s">
        <v>17</v>
      </c>
      <c r="B23" s="4" t="s">
        <v>41</v>
      </c>
      <c r="C23" s="4" t="s">
        <v>52</v>
      </c>
      <c r="D23" s="4" t="s">
        <v>62</v>
      </c>
      <c r="E23" s="4" t="s">
        <v>82</v>
      </c>
      <c r="F23" s="4" t="s">
        <v>74</v>
      </c>
      <c r="G23" s="4" t="s">
        <v>78</v>
      </c>
      <c r="H23" s="4">
        <v>22.72</v>
      </c>
      <c r="I23" s="4">
        <v>7.3839999999999986</v>
      </c>
    </row>
    <row r="24" spans="1:9" x14ac:dyDescent="0.25">
      <c r="A24" s="4" t="s">
        <v>18</v>
      </c>
      <c r="B24" s="4" t="s">
        <v>42</v>
      </c>
      <c r="C24" s="4" t="s">
        <v>52</v>
      </c>
      <c r="D24" s="4" t="s">
        <v>60</v>
      </c>
      <c r="E24" s="4" t="s">
        <v>89</v>
      </c>
      <c r="F24" s="4" t="s">
        <v>75</v>
      </c>
      <c r="G24" s="4" t="s">
        <v>79</v>
      </c>
      <c r="H24" s="4">
        <v>19.459999999999997</v>
      </c>
      <c r="I24" s="4">
        <v>5.0595999999999997</v>
      </c>
    </row>
    <row r="25" spans="1:9" x14ac:dyDescent="0.25">
      <c r="A25" s="4" t="s">
        <v>18</v>
      </c>
      <c r="B25" s="4" t="s">
        <v>43</v>
      </c>
      <c r="C25" s="4" t="s">
        <v>52</v>
      </c>
      <c r="D25" s="4" t="s">
        <v>63</v>
      </c>
      <c r="E25" s="4" t="s">
        <v>89</v>
      </c>
      <c r="F25" s="4" t="s">
        <v>75</v>
      </c>
      <c r="G25" s="4" t="s">
        <v>79</v>
      </c>
      <c r="H25" s="4">
        <v>60.339999999999996</v>
      </c>
      <c r="I25" s="4">
        <v>15.688400000000001</v>
      </c>
    </row>
    <row r="26" spans="1:9" x14ac:dyDescent="0.25">
      <c r="A26" s="4" t="s">
        <v>19</v>
      </c>
      <c r="B26" s="4" t="s">
        <v>44</v>
      </c>
      <c r="C26" s="4" t="s">
        <v>51</v>
      </c>
      <c r="D26" s="4" t="s">
        <v>55</v>
      </c>
      <c r="E26" s="4" t="s">
        <v>90</v>
      </c>
      <c r="F26" s="4" t="s">
        <v>76</v>
      </c>
      <c r="G26" s="4" t="s">
        <v>78</v>
      </c>
      <c r="H26" s="4">
        <v>71.371999999999986</v>
      </c>
      <c r="I26" s="4">
        <v>-1.0196000000000005</v>
      </c>
    </row>
    <row r="27" spans="1:9" x14ac:dyDescent="0.25">
      <c r="A27" s="4" t="s">
        <v>20</v>
      </c>
      <c r="B27" s="4" t="s">
        <v>26</v>
      </c>
      <c r="C27" s="4" t="s">
        <v>51</v>
      </c>
      <c r="D27" s="4" t="s">
        <v>57</v>
      </c>
      <c r="E27" s="4" t="s">
        <v>88</v>
      </c>
      <c r="F27" s="4" t="s">
        <v>77</v>
      </c>
      <c r="G27" s="4" t="s">
        <v>79</v>
      </c>
      <c r="H27" s="4">
        <v>1044.6299999999999</v>
      </c>
      <c r="I27" s="4">
        <v>240.26490000000001</v>
      </c>
    </row>
    <row r="28" spans="1:9" x14ac:dyDescent="0.25">
      <c r="A28" s="4" t="s">
        <v>21</v>
      </c>
      <c r="B28" s="4" t="s">
        <v>45</v>
      </c>
      <c r="C28" s="4" t="s">
        <v>52</v>
      </c>
      <c r="D28" s="4" t="s">
        <v>62</v>
      </c>
      <c r="E28" s="4" t="s">
        <v>82</v>
      </c>
      <c r="F28" s="4" t="s">
        <v>67</v>
      </c>
      <c r="G28" s="4" t="s">
        <v>78</v>
      </c>
      <c r="H28" s="4">
        <v>11.648000000000001</v>
      </c>
      <c r="I28" s="4">
        <v>4.2224000000000004</v>
      </c>
    </row>
    <row r="29" spans="1:9" x14ac:dyDescent="0.25">
      <c r="A29" s="4" t="s">
        <v>21</v>
      </c>
      <c r="B29" s="4" t="s">
        <v>46</v>
      </c>
      <c r="C29" s="4" t="s">
        <v>53</v>
      </c>
      <c r="D29" s="4" t="s">
        <v>65</v>
      </c>
      <c r="E29" s="4" t="s">
        <v>82</v>
      </c>
      <c r="F29" s="4" t="s">
        <v>67</v>
      </c>
      <c r="G29" s="4" t="s">
        <v>78</v>
      </c>
      <c r="H29" s="4">
        <v>90.570000000000007</v>
      </c>
      <c r="I29" s="4">
        <v>11.774100000000004</v>
      </c>
    </row>
    <row r="30" spans="1:9" x14ac:dyDescent="0.25">
      <c r="A30" s="4" t="s">
        <v>22</v>
      </c>
      <c r="B30" s="4" t="s">
        <v>47</v>
      </c>
      <c r="C30" s="4" t="s">
        <v>51</v>
      </c>
      <c r="D30" s="4" t="s">
        <v>54</v>
      </c>
      <c r="E30" s="4" t="s">
        <v>90</v>
      </c>
      <c r="F30" s="4" t="s">
        <v>76</v>
      </c>
      <c r="G30" s="4" t="s">
        <v>79</v>
      </c>
      <c r="H30" s="4">
        <v>3083.4300000000003</v>
      </c>
      <c r="I30" s="4">
        <v>-1665.0522000000001</v>
      </c>
    </row>
    <row r="31" spans="1:9" x14ac:dyDescent="0.25">
      <c r="A31" s="4" t="s">
        <v>22</v>
      </c>
      <c r="B31" s="4" t="s">
        <v>48</v>
      </c>
      <c r="C31" s="4" t="s">
        <v>52</v>
      </c>
      <c r="D31" s="4" t="s">
        <v>62</v>
      </c>
      <c r="E31" s="4" t="s">
        <v>90</v>
      </c>
      <c r="F31" s="4" t="s">
        <v>76</v>
      </c>
      <c r="G31" s="4" t="s">
        <v>79</v>
      </c>
      <c r="H31" s="4">
        <v>9.6180000000000021</v>
      </c>
      <c r="I31" s="4">
        <v>-7.0532000000000004</v>
      </c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5" t="s">
        <v>91</v>
      </c>
      <c r="B3" t="s">
        <v>93</v>
      </c>
    </row>
    <row r="4" spans="1:2" x14ac:dyDescent="0.25">
      <c r="A4" s="6" t="s">
        <v>65</v>
      </c>
      <c r="B4" s="7">
        <v>90.570000000000007</v>
      </c>
    </row>
    <row r="5" spans="1:2" x14ac:dyDescent="0.25">
      <c r="A5" s="6" t="s">
        <v>63</v>
      </c>
      <c r="B5" s="7">
        <v>244.04999999999998</v>
      </c>
    </row>
    <row r="6" spans="1:2" x14ac:dyDescent="0.25">
      <c r="A6" s="6" t="s">
        <v>60</v>
      </c>
      <c r="B6" s="7">
        <v>35.299999999999997</v>
      </c>
    </row>
    <row r="7" spans="1:2" x14ac:dyDescent="0.25">
      <c r="A7" s="6" t="s">
        <v>62</v>
      </c>
      <c r="B7" s="7">
        <v>473.01000000000005</v>
      </c>
    </row>
    <row r="8" spans="1:2" x14ac:dyDescent="0.25">
      <c r="A8" s="6" t="s">
        <v>54</v>
      </c>
      <c r="B8" s="7">
        <v>3345.3900000000003</v>
      </c>
    </row>
    <row r="9" spans="1:2" x14ac:dyDescent="0.25">
      <c r="A9" s="6" t="s">
        <v>55</v>
      </c>
      <c r="B9" s="7">
        <v>803.3119999999999</v>
      </c>
    </row>
    <row r="10" spans="1:2" x14ac:dyDescent="0.25">
      <c r="A10" s="6" t="s">
        <v>59</v>
      </c>
      <c r="B10" s="7">
        <v>48.86</v>
      </c>
    </row>
    <row r="11" spans="1:2" x14ac:dyDescent="0.25">
      <c r="A11" s="6" t="s">
        <v>56</v>
      </c>
      <c r="B11" s="7">
        <v>14.62</v>
      </c>
    </row>
    <row r="12" spans="1:2" x14ac:dyDescent="0.25">
      <c r="A12" s="6" t="s">
        <v>64</v>
      </c>
      <c r="B12" s="7">
        <v>15.552000000000003</v>
      </c>
    </row>
    <row r="13" spans="1:2" x14ac:dyDescent="0.25">
      <c r="A13" s="6" t="s">
        <v>61</v>
      </c>
      <c r="B13" s="7">
        <v>2032.056</v>
      </c>
    </row>
    <row r="14" spans="1:2" x14ac:dyDescent="0.25">
      <c r="A14" s="6" t="s">
        <v>58</v>
      </c>
      <c r="B14" s="7">
        <v>743.74800000000005</v>
      </c>
    </row>
    <row r="15" spans="1:2" x14ac:dyDescent="0.25">
      <c r="A15" s="6" t="s">
        <v>57</v>
      </c>
      <c r="B15" s="7">
        <v>3708.3914999999997</v>
      </c>
    </row>
    <row r="16" spans="1:2" x14ac:dyDescent="0.25">
      <c r="A16" s="6" t="s">
        <v>92</v>
      </c>
      <c r="B16" s="7">
        <v>11554.859499999999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5" x14ac:dyDescent="0.25"/>
  <cols>
    <col min="1" max="1" width="13.85546875" bestFit="1" customWidth="1"/>
    <col min="2" max="2" width="12.140625" bestFit="1" customWidth="1"/>
  </cols>
  <sheetData>
    <row r="3" spans="1:2" x14ac:dyDescent="0.25">
      <c r="A3" s="5" t="s">
        <v>91</v>
      </c>
      <c r="B3" t="s">
        <v>93</v>
      </c>
    </row>
    <row r="4" spans="1:2" x14ac:dyDescent="0.25">
      <c r="A4" s="6" t="s">
        <v>78</v>
      </c>
      <c r="B4" s="7">
        <v>1482.37</v>
      </c>
    </row>
    <row r="5" spans="1:2" x14ac:dyDescent="0.25">
      <c r="A5" s="6" t="s">
        <v>79</v>
      </c>
      <c r="B5" s="7">
        <v>10072.489500000001</v>
      </c>
    </row>
    <row r="6" spans="1:2" x14ac:dyDescent="0.25">
      <c r="A6" s="6" t="s">
        <v>92</v>
      </c>
      <c r="B6" s="7">
        <v>11554.859500000002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3" sqref="A3"/>
    </sheetView>
  </sheetViews>
  <sheetFormatPr defaultRowHeight="15" x14ac:dyDescent="0.25"/>
  <cols>
    <col min="1" max="1" width="12.140625" bestFit="1" customWidth="1"/>
  </cols>
  <sheetData>
    <row r="3" spans="1:1" x14ac:dyDescent="0.25">
      <c r="A3" t="s">
        <v>93</v>
      </c>
    </row>
    <row r="4" spans="1:1" x14ac:dyDescent="0.25">
      <c r="A4" s="7">
        <v>11554.8595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3" sqref="A3"/>
    </sheetView>
  </sheetViews>
  <sheetFormatPr defaultRowHeight="15" x14ac:dyDescent="0.25"/>
  <cols>
    <col min="1" max="1" width="12.5703125" bestFit="1" customWidth="1"/>
  </cols>
  <sheetData>
    <row r="3" spans="1:1" x14ac:dyDescent="0.25">
      <c r="A3" t="s">
        <v>94</v>
      </c>
    </row>
    <row r="4" spans="1:1" x14ac:dyDescent="0.25">
      <c r="A4" s="7">
        <v>-1147.9481000000003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3" sqref="A3"/>
    </sheetView>
  </sheetViews>
  <sheetFormatPr defaultRowHeight="15" x14ac:dyDescent="0.25"/>
  <cols>
    <col min="1" max="1" width="15" bestFit="1" customWidth="1"/>
    <col min="2" max="2" width="12.140625" bestFit="1" customWidth="1"/>
  </cols>
  <sheetData>
    <row r="3" spans="1:2" x14ac:dyDescent="0.25">
      <c r="A3" s="5" t="s">
        <v>91</v>
      </c>
      <c r="B3" t="s">
        <v>93</v>
      </c>
    </row>
    <row r="4" spans="1:2" x14ac:dyDescent="0.25">
      <c r="A4" s="6" t="s">
        <v>69</v>
      </c>
      <c r="B4" s="7">
        <v>15.552000000000003</v>
      </c>
    </row>
    <row r="5" spans="1:2" x14ac:dyDescent="0.25">
      <c r="A5" s="6" t="s">
        <v>68</v>
      </c>
      <c r="B5" s="7">
        <v>979.94550000000004</v>
      </c>
    </row>
    <row r="6" spans="1:2" x14ac:dyDescent="0.25">
      <c r="A6" s="6" t="s">
        <v>71</v>
      </c>
      <c r="B6" s="7">
        <v>71.353999999999985</v>
      </c>
    </row>
    <row r="7" spans="1:2" x14ac:dyDescent="0.25">
      <c r="A7" s="6" t="s">
        <v>75</v>
      </c>
      <c r="B7" s="7">
        <v>79.8</v>
      </c>
    </row>
    <row r="8" spans="1:2" x14ac:dyDescent="0.25">
      <c r="A8" s="6" t="s">
        <v>66</v>
      </c>
      <c r="B8" s="7">
        <v>993.89999999999986</v>
      </c>
    </row>
    <row r="9" spans="1:2" x14ac:dyDescent="0.25">
      <c r="A9" s="6" t="s">
        <v>67</v>
      </c>
      <c r="B9" s="7">
        <v>3831.1420000000003</v>
      </c>
    </row>
    <row r="10" spans="1:2" x14ac:dyDescent="0.25">
      <c r="A10" s="6" t="s">
        <v>72</v>
      </c>
      <c r="B10" s="7">
        <v>665.88</v>
      </c>
    </row>
    <row r="11" spans="1:2" x14ac:dyDescent="0.25">
      <c r="A11" s="6" t="s">
        <v>77</v>
      </c>
      <c r="B11" s="7">
        <v>1044.6299999999999</v>
      </c>
    </row>
    <row r="12" spans="1:2" x14ac:dyDescent="0.25">
      <c r="A12" s="6" t="s">
        <v>76</v>
      </c>
      <c r="B12" s="7">
        <v>3164.42</v>
      </c>
    </row>
    <row r="13" spans="1:2" x14ac:dyDescent="0.25">
      <c r="A13" s="6" t="s">
        <v>74</v>
      </c>
      <c r="B13" s="7">
        <v>244.76000000000002</v>
      </c>
    </row>
    <row r="14" spans="1:2" x14ac:dyDescent="0.25">
      <c r="A14" s="6" t="s">
        <v>70</v>
      </c>
      <c r="B14" s="7">
        <v>407.97600000000006</v>
      </c>
    </row>
    <row r="15" spans="1:2" x14ac:dyDescent="0.25">
      <c r="A15" s="6" t="s">
        <v>73</v>
      </c>
      <c r="B15" s="7">
        <v>55.5</v>
      </c>
    </row>
    <row r="16" spans="1:2" x14ac:dyDescent="0.25">
      <c r="A16" s="6" t="s">
        <v>92</v>
      </c>
      <c r="B16" s="7">
        <v>11554.8595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3" sqref="A3"/>
    </sheetView>
  </sheetViews>
  <sheetFormatPr defaultRowHeight="15" x14ac:dyDescent="0.25"/>
  <cols>
    <col min="1" max="1" width="14" bestFit="1" customWidth="1"/>
    <col min="2" max="2" width="12.140625" bestFit="1" customWidth="1"/>
  </cols>
  <sheetData>
    <row r="3" spans="1:2" x14ac:dyDescent="0.25">
      <c r="A3" s="5" t="s">
        <v>91</v>
      </c>
      <c r="B3" t="s">
        <v>93</v>
      </c>
    </row>
    <row r="4" spans="1:2" x14ac:dyDescent="0.25">
      <c r="A4" s="6" t="s">
        <v>82</v>
      </c>
      <c r="B4" s="7">
        <v>4075.902</v>
      </c>
    </row>
    <row r="5" spans="1:2" x14ac:dyDescent="0.25">
      <c r="A5" s="6" t="s">
        <v>83</v>
      </c>
      <c r="B5" s="7">
        <v>979.94550000000004</v>
      </c>
    </row>
    <row r="6" spans="1:2" x14ac:dyDescent="0.25">
      <c r="A6" s="6" t="s">
        <v>81</v>
      </c>
      <c r="B6" s="7">
        <v>993.89999999999986</v>
      </c>
    </row>
    <row r="7" spans="1:2" x14ac:dyDescent="0.25">
      <c r="A7" s="6" t="s">
        <v>89</v>
      </c>
      <c r="B7" s="7">
        <v>79.8</v>
      </c>
    </row>
    <row r="8" spans="1:2" x14ac:dyDescent="0.25">
      <c r="A8" s="6" t="s">
        <v>84</v>
      </c>
      <c r="B8" s="7">
        <v>15.552000000000003</v>
      </c>
    </row>
    <row r="9" spans="1:2" x14ac:dyDescent="0.25">
      <c r="A9" s="6" t="s">
        <v>90</v>
      </c>
      <c r="B9" s="7">
        <v>3164.42</v>
      </c>
    </row>
    <row r="10" spans="1:2" x14ac:dyDescent="0.25">
      <c r="A10" s="6" t="s">
        <v>86</v>
      </c>
      <c r="B10" s="7">
        <v>71.353999999999985</v>
      </c>
    </row>
    <row r="11" spans="1:2" x14ac:dyDescent="0.25">
      <c r="A11" s="6" t="s">
        <v>88</v>
      </c>
      <c r="B11" s="7">
        <v>1100.1299999999999</v>
      </c>
    </row>
    <row r="12" spans="1:2" x14ac:dyDescent="0.25">
      <c r="A12" s="6" t="s">
        <v>85</v>
      </c>
      <c r="B12" s="7">
        <v>407.97600000000006</v>
      </c>
    </row>
    <row r="13" spans="1:2" x14ac:dyDescent="0.25">
      <c r="A13" s="6" t="s">
        <v>87</v>
      </c>
      <c r="B13" s="7">
        <v>665.88</v>
      </c>
    </row>
    <row r="14" spans="1:2" x14ac:dyDescent="0.25">
      <c r="A14" s="6" t="s">
        <v>92</v>
      </c>
      <c r="B14" s="7">
        <v>11554.859499999997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I3" sqref="I3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5" t="s">
        <v>91</v>
      </c>
      <c r="B3" t="s">
        <v>93</v>
      </c>
    </row>
    <row r="4" spans="1:2" x14ac:dyDescent="0.25">
      <c r="A4" s="6" t="s">
        <v>51</v>
      </c>
      <c r="B4" s="7">
        <v>7905.9534999999996</v>
      </c>
    </row>
    <row r="5" spans="1:2" x14ac:dyDescent="0.25">
      <c r="A5" s="6" t="s">
        <v>52</v>
      </c>
      <c r="B5" s="7">
        <v>1526.2799999999997</v>
      </c>
    </row>
    <row r="6" spans="1:2" x14ac:dyDescent="0.25">
      <c r="A6" s="6" t="s">
        <v>53</v>
      </c>
      <c r="B6" s="7">
        <v>2122.6260000000002</v>
      </c>
    </row>
    <row r="7" spans="1:2" x14ac:dyDescent="0.25">
      <c r="A7" s="6" t="s">
        <v>92</v>
      </c>
      <c r="B7" s="7">
        <v>11554.859499999999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Collction</vt:lpstr>
      <vt:lpstr>Subcategorywise</vt:lpstr>
      <vt:lpstr>shipmode</vt:lpstr>
      <vt:lpstr>sumofsales</vt:lpstr>
      <vt:lpstr>profit</vt:lpstr>
      <vt:lpstr>City Wise</vt:lpstr>
      <vt:lpstr>Statewise</vt:lpstr>
      <vt:lpstr>Categorywise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2025-12-15T05:54:04Z</dcterms:created>
  <dcterms:modified xsi:type="dcterms:W3CDTF">2025-12-15T06:42:01Z</dcterms:modified>
</cp:coreProperties>
</file>